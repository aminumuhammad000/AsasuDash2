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SA Transactions" sheetId="1" state="visible" r:id="rId3"/>
  </sheets>
  <definedNames>
    <definedName function="false" hidden="false" localSheetId="0" name="_xlnm.Print_Area" vbProcedure="false">'RSA Transactions'!$A$1:$J$34</definedName>
    <definedName function="false" hidden="false" localSheetId="0" name="_xlnm.Print_Titles" vbProcedure="false">'RSA Transactions'!$4:$4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<sst xmlns="http://schemas.openxmlformats.org/spreadsheetml/2006/main" count="78" uniqueCount="78">
  <si>
    <t xml:space="preserve">ASASU REALTY YOLA</t>
  </si>
  <si>
    <t xml:space="preserve">25% RSA TRANSACTIONS, 29TH SEPT 2026</t>
  </si>
  <si>
    <t xml:space="preserve">S/No</t>
  </si>
  <si>
    <t xml:space="preserve">ACCT NO.</t>
  </si>
  <si>
    <t xml:space="preserve">ACCT NAME</t>
  </si>
  <si>
    <t xml:space="preserve">RSA AMOUNT</t>
  </si>
  <si>
    <t xml:space="preserve">3% SERV.CHG</t>
  </si>
  <si>
    <t xml:space="preserve">0.1% A/MT</t>
  </si>
  <si>
    <t xml:space="preserve">ACCT.BAL.</t>
  </si>
  <si>
    <t xml:space="preserve">NET</t>
  </si>
  <si>
    <t xml:space="preserve">1% SERV.CHG</t>
  </si>
  <si>
    <t xml:space="preserve">2% SERV.CHG</t>
  </si>
  <si>
    <t xml:space="preserve">Rates &amp; Constants</t>
  </si>
  <si>
    <t xml:space="preserve">1002641695</t>
  </si>
  <si>
    <t xml:space="preserve">OKECHUKWU, JOY NKIRUKA</t>
  </si>
  <si>
    <t xml:space="preserve">Service Charge (3%)</t>
  </si>
  <si>
    <t xml:space="preserve">1002729669</t>
  </si>
  <si>
    <t xml:space="preserve">NWOSU, UCHENNA DOROTHY</t>
  </si>
  <si>
    <t xml:space="preserve">A/MT Rate (0.1%)</t>
  </si>
  <si>
    <t xml:space="preserve">1002651236</t>
  </si>
  <si>
    <t xml:space="preserve">UGWUIBE, MEMULAYE UFUOMA</t>
  </si>
  <si>
    <t xml:space="preserve">Account Balance Retained</t>
  </si>
  <si>
    <t xml:space="preserve">1001686200</t>
  </si>
  <si>
    <t xml:space="preserve">IKPE, LINUS KALU</t>
  </si>
  <si>
    <t xml:space="preserve">Service Charge (1%)</t>
  </si>
  <si>
    <t xml:space="preserve">1002639614</t>
  </si>
  <si>
    <t xml:space="preserve">OKPARANMA, CHINEDU</t>
  </si>
  <si>
    <t xml:space="preserve">Service Charge (2%)</t>
  </si>
  <si>
    <t xml:space="preserve">1002637689</t>
  </si>
  <si>
    <t xml:space="preserve">ALI, DANIEL GARGA</t>
  </si>
  <si>
    <t xml:space="preserve">1001218526</t>
  </si>
  <si>
    <t xml:space="preserve">CLEMENT, JAN GOLSHANG</t>
  </si>
  <si>
    <t xml:space="preserve">Blue cells are inputs (from the source sheet); all other figures are formulas.</t>
  </si>
  <si>
    <t xml:space="preserve">1001719397</t>
  </si>
  <si>
    <t xml:space="preserve">ARIBIDO, OLADIPO SUNDAY</t>
  </si>
  <si>
    <t xml:space="preserve">1002703447</t>
  </si>
  <si>
    <t xml:space="preserve">OLUDAIRO, OLADAPO OYEDEJI</t>
  </si>
  <si>
    <t xml:space="preserve">1002700590</t>
  </si>
  <si>
    <t xml:space="preserve">MUSTAFA, TUNDE SHAIBU</t>
  </si>
  <si>
    <t xml:space="preserve">1002243031</t>
  </si>
  <si>
    <t xml:space="preserve">SANNI, LUKMAN ABIODUN</t>
  </si>
  <si>
    <t xml:space="preserve">1002525821</t>
  </si>
  <si>
    <t xml:space="preserve">ADESOLA, WILLIAMS ADEBAYO</t>
  </si>
  <si>
    <t xml:space="preserve">1002345607</t>
  </si>
  <si>
    <t xml:space="preserve">DARE, ABOSEDE BOLANLE</t>
  </si>
  <si>
    <t xml:space="preserve">1002667008</t>
  </si>
  <si>
    <t xml:space="preserve">OPENE, CHRISTOPHER CYFINE</t>
  </si>
  <si>
    <t xml:space="preserve">1002700477</t>
  </si>
  <si>
    <t xml:space="preserve">NWAOKANSU, GINIKA NWADIOGOR</t>
  </si>
  <si>
    <t xml:space="preserve">1001840561</t>
  </si>
  <si>
    <t xml:space="preserve">NDUKA, FRANCIS UGOCHUKWU</t>
  </si>
  <si>
    <t xml:space="preserve">1002619678</t>
  </si>
  <si>
    <t xml:space="preserve">OBIDOLA, SHAKIRDEEN MAYOWA</t>
  </si>
  <si>
    <t xml:space="preserve">1001064031</t>
  </si>
  <si>
    <t xml:space="preserve">OSHAFU, AHMED ABBAS</t>
  </si>
  <si>
    <t xml:space="preserve">1002390180</t>
  </si>
  <si>
    <t xml:space="preserve">EMUAN, SARAH ESOHE</t>
  </si>
  <si>
    <t xml:space="preserve">1002636981</t>
  </si>
  <si>
    <t xml:space="preserve">BIYA, KOYAN JACOB</t>
  </si>
  <si>
    <t xml:space="preserve">1001776637</t>
  </si>
  <si>
    <t xml:space="preserve">JESUOROBO, JOSIAH OSAMIAMION</t>
  </si>
  <si>
    <t xml:space="preserve">1002567647</t>
  </si>
  <si>
    <t xml:space="preserve">ALI, BABAGANA</t>
  </si>
  <si>
    <t xml:space="preserve">1001480910</t>
  </si>
  <si>
    <t xml:space="preserve">IBRAHIM, INUSA GAJERE</t>
  </si>
  <si>
    <t xml:space="preserve">1002345663</t>
  </si>
  <si>
    <t xml:space="preserve">SAKA, FOLASADE OLAYINKA</t>
  </si>
  <si>
    <t xml:space="preserve">1002436338</t>
  </si>
  <si>
    <t xml:space="preserve">DABANG, ENOCK DADEP</t>
  </si>
  <si>
    <t xml:space="preserve">1002047055</t>
  </si>
  <si>
    <t xml:space="preserve">DANALADI, TIMOTHY DANJUMA</t>
  </si>
  <si>
    <t xml:space="preserve">1002637487</t>
  </si>
  <si>
    <t xml:space="preserve">UNABOR, ELVIS</t>
  </si>
  <si>
    <t xml:space="preserve">1002739918</t>
  </si>
  <si>
    <t xml:space="preserve">EZE, VICTOR IBEZIMAKO</t>
  </si>
  <si>
    <t xml:space="preserve">1002615900</t>
  </si>
  <si>
    <t xml:space="preserve">EBOECHINE, GLORIA CHINWE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</si>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</sst>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.00"/>
    <numFmt numFmtId="167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F2F6FC"/>
      </patternFill>
    </fill>
    <fill>
      <patternFill patternType="solid">
        <fgColor rgb="FF2F5597"/>
        <bgColor rgb="FF1F3864"/>
      </patternFill>
    </fill>
    <fill>
      <patternFill patternType="solid">
        <fgColor rgb="FFFFF2CC"/>
        <bgColor rgb="FFF2F6FC"/>
      </patternFill>
    </fill>
    <fill>
      <patternFill patternType="solid">
        <fgColor rgb="FFF2F6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6FC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6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8" min="8" style="0" width="18"/>
    <col collapsed="false" customWidth="true" hidden="false" outlineLevel="0" max="10" min="9" style="0" width="16"/>
    <col collapsed="false" customWidth="true" hidden="false" outlineLevel="0" max="11" min="11" style="0" width="4"/>
    <col collapsed="false" customWidth="true" hidden="false" outlineLevel="0" max="12" min="12" style="0" width="28"/>
    <col collapsed="false" customWidth="true" hidden="false" outlineLevel="0" max="13" min="13" style="0" width="14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5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L4" s="4" t="s">
        <v>12</v>
      </c>
      <c r="M4" s="5"/>
    </row>
    <row r="5" customFormat="false" ht="15" hidden="false" customHeight="false" outlineLevel="0" collapsed="false">
      <c r="A5" s="6" t="n">
        <v>1</v>
      </c>
      <c r="B5" s="7" t="s">
        <v>13</v>
      </c>
      <c r="C5" s="8" t="s">
        <v>14</v>
      </c>
      <c r="D5" s="9" t="n">
        <v>8372482.79</v>
      </c>
      <c r="E5" s="10" t="n">
        <f aca="false">ROUND(D5*$M$5,2)</f>
        <v>251174.48</v>
      </c>
      <c r="F5" s="10" t="n">
        <f aca="false">ROUND(D5*$M$6,2)</f>
        <v>8372.48</v>
      </c>
      <c r="G5" s="10" t="n">
        <f aca="false">$M$7</f>
        <v>20000</v>
      </c>
      <c r="H5" s="11" t="n">
        <f aca="false">D5-E5-F5-G5</f>
        <v>8092935.83</v>
      </c>
      <c r="I5" s="10" t="n">
        <f aca="false">ROUND(D5*$M$8,2)</f>
        <v>83724.83</v>
      </c>
      <c r="J5" s="10" t="n">
        <f aca="false">ROUND(D5*$M$9,2)</f>
        <v>167449.66</v>
      </c>
      <c r="L5" s="12" t="s">
        <v>15</v>
      </c>
      <c r="M5" s="13" t="n">
        <v>0.03</v>
      </c>
    </row>
    <row r="6" customFormat="false" ht="15" hidden="false" customHeight="false" outlineLevel="0" collapsed="false">
      <c r="A6" s="14" t="n">
        <v>2</v>
      </c>
      <c r="B6" s="15" t="s">
        <v>16</v>
      </c>
      <c r="C6" s="16" t="s">
        <v>17</v>
      </c>
      <c r="D6" s="17" t="n">
        <v>8140828.72</v>
      </c>
      <c r="E6" s="18" t="n">
        <f aca="false">ROUND(D6*$M$5,2)</f>
        <v>244224.86</v>
      </c>
      <c r="F6" s="18" t="n">
        <f aca="false">ROUND(D6*$M$6,2)</f>
        <v>8140.83</v>
      </c>
      <c r="G6" s="18" t="n">
        <f aca="false">$M$7</f>
        <v>20000</v>
      </c>
      <c r="H6" s="19" t="n">
        <f aca="false">D6-E6-F6-G6</f>
        <v>7868463.03</v>
      </c>
      <c r="I6" s="18" t="n">
        <f aca="false">ROUND(D6*$M$8,2)</f>
        <v>81408.29</v>
      </c>
      <c r="J6" s="18" t="n">
        <f aca="false">ROUND(D6*$M$9,2)</f>
        <v>162816.57</v>
      </c>
      <c r="L6" s="12" t="s">
        <v>18</v>
      </c>
      <c r="M6" s="13" t="n">
        <v>0.001</v>
      </c>
    </row>
    <row r="7" customFormat="false" ht="15" hidden="false" customHeight="false" outlineLevel="0" collapsed="false">
      <c r="A7" s="6" t="n">
        <v>3</v>
      </c>
      <c r="B7" s="7" t="s">
        <v>19</v>
      </c>
      <c r="C7" s="8" t="s">
        <v>20</v>
      </c>
      <c r="D7" s="9" t="n">
        <v>5448584.1</v>
      </c>
      <c r="E7" s="10" t="n">
        <f aca="false">ROUND(D7*$M$5,2)</f>
        <v>163457.52</v>
      </c>
      <c r="F7" s="10" t="n">
        <f aca="false">ROUND(D7*$M$6,2)</f>
        <v>5448.58</v>
      </c>
      <c r="G7" s="10" t="n">
        <f aca="false">$M$7</f>
        <v>20000</v>
      </c>
      <c r="H7" s="11" t="n">
        <f aca="false">D7-E7-F7-G7</f>
        <v>5259678</v>
      </c>
      <c r="I7" s="10" t="n">
        <f aca="false">ROUND(D7*$M$8,2)</f>
        <v>54485.84</v>
      </c>
      <c r="J7" s="10" t="n">
        <f aca="false">ROUND(D7*$M$9,2)</f>
        <v>108971.68</v>
      </c>
      <c r="L7" s="12" t="s">
        <v>21</v>
      </c>
      <c r="M7" s="20" t="n">
        <v>20000</v>
      </c>
    </row>
    <row r="8" customFormat="false" ht="15" hidden="false" customHeight="false" outlineLevel="0" collapsed="false">
      <c r="A8" s="14" t="n">
        <v>4</v>
      </c>
      <c r="B8" s="15" t="s">
        <v>22</v>
      </c>
      <c r="C8" s="16" t="s">
        <v>23</v>
      </c>
      <c r="D8" s="17" t="n">
        <v>4773819.8</v>
      </c>
      <c r="E8" s="18" t="n">
        <f aca="false">ROUND(D8*$M$5,2)</f>
        <v>143214.59</v>
      </c>
      <c r="F8" s="18" t="n">
        <f aca="false">ROUND(D8*$M$6,2)</f>
        <v>4773.82</v>
      </c>
      <c r="G8" s="18" t="n">
        <f aca="false">$M$7</f>
        <v>20000</v>
      </c>
      <c r="H8" s="19" t="n">
        <f aca="false">D8-E8-F8-G8</f>
        <v>4605831.39</v>
      </c>
      <c r="I8" s="18" t="n">
        <f aca="false">ROUND(D8*$M$8,2)</f>
        <v>47738.2</v>
      </c>
      <c r="J8" s="18" t="n">
        <f aca="false">ROUND(D8*$M$9,2)</f>
        <v>95476.4</v>
      </c>
      <c r="L8" s="12" t="s">
        <v>24</v>
      </c>
      <c r="M8" s="13" t="n">
        <v>0.01</v>
      </c>
    </row>
    <row r="9" customFormat="false" ht="15" hidden="false" customHeight="false" outlineLevel="0" collapsed="false">
      <c r="A9" s="6" t="n">
        <v>5</v>
      </c>
      <c r="B9" s="7" t="s">
        <v>25</v>
      </c>
      <c r="C9" s="8" t="s">
        <v>26</v>
      </c>
      <c r="D9" s="9" t="n">
        <v>4763825.1</v>
      </c>
      <c r="E9" s="10" t="n">
        <f aca="false">ROUND(D9*$M$5,2)</f>
        <v>142914.75</v>
      </c>
      <c r="F9" s="10" t="n">
        <f aca="false">ROUND(D9*$M$6,2)</f>
        <v>4763.83</v>
      </c>
      <c r="G9" s="10" t="n">
        <f aca="false">$M$7</f>
        <v>20000</v>
      </c>
      <c r="H9" s="11" t="n">
        <f aca="false">D9-E9-F9-G9</f>
        <v>4596146.52</v>
      </c>
      <c r="I9" s="10" t="n">
        <f aca="false">ROUND(D9*$M$8,2)</f>
        <v>47638.25</v>
      </c>
      <c r="J9" s="10" t="n">
        <f aca="false">ROUND(D9*$M$9,2)</f>
        <v>95276.5</v>
      </c>
      <c r="L9" s="12" t="s">
        <v>27</v>
      </c>
      <c r="M9" s="13" t="n">
        <v>0.02</v>
      </c>
    </row>
    <row r="10" customFormat="false" ht="15" hidden="false" customHeight="false" outlineLevel="0" collapsed="false">
      <c r="A10" s="14" t="n">
        <v>6</v>
      </c>
      <c r="B10" s="15" t="s">
        <v>28</v>
      </c>
      <c r="C10" s="16" t="s">
        <v>29</v>
      </c>
      <c r="D10" s="17" t="n">
        <v>4660732.5</v>
      </c>
      <c r="E10" s="18" t="n">
        <f aca="false">ROUND(D10*$M$5,2)</f>
        <v>139821.98</v>
      </c>
      <c r="F10" s="18" t="n">
        <f aca="false">ROUND(D10*$M$6,2)</f>
        <v>4660.73</v>
      </c>
      <c r="G10" s="18" t="n">
        <f aca="false">$M$7</f>
        <v>20000</v>
      </c>
      <c r="H10" s="19" t="n">
        <f aca="false">D10-E10-F10-G10</f>
        <v>4496249.79</v>
      </c>
      <c r="I10" s="18" t="n">
        <f aca="false">ROUND(D10*$M$8,2)</f>
        <v>46607.33</v>
      </c>
      <c r="J10" s="18" t="n">
        <f aca="false">ROUND(D10*$M$9,2)</f>
        <v>93214.65</v>
      </c>
    </row>
    <row r="11" customFormat="false" ht="15" hidden="false" customHeight="false" outlineLevel="0" collapsed="false">
      <c r="A11" s="6" t="n">
        <v>7</v>
      </c>
      <c r="B11" s="7" t="s">
        <v>30</v>
      </c>
      <c r="C11" s="8" t="s">
        <v>31</v>
      </c>
      <c r="D11" s="9" t="n">
        <v>3757955.94</v>
      </c>
      <c r="E11" s="10" t="n">
        <f aca="false">ROUND(D11*$M$5,2)</f>
        <v>112738.68</v>
      </c>
      <c r="F11" s="10" t="n">
        <f aca="false">ROUND(D11*$M$6,2)</f>
        <v>3757.96</v>
      </c>
      <c r="G11" s="10" t="n">
        <f aca="false">$M$7</f>
        <v>20000</v>
      </c>
      <c r="H11" s="11" t="n">
        <f aca="false">D11-E11-F11-G11</f>
        <v>3621459.3</v>
      </c>
      <c r="I11" s="10" t="n">
        <f aca="false">ROUND(D11*$M$8,2)</f>
        <v>37579.56</v>
      </c>
      <c r="J11" s="10" t="n">
        <f aca="false">ROUND(D11*$M$9,2)</f>
        <v>75159.12</v>
      </c>
      <c r="L11" s="21" t="s">
        <v>32</v>
      </c>
    </row>
    <row r="12" customFormat="false" ht="15" hidden="false" customHeight="false" outlineLevel="0" collapsed="false">
      <c r="A12" s="14" t="n">
        <v>8</v>
      </c>
      <c r="B12" s="15" t="s">
        <v>33</v>
      </c>
      <c r="C12" s="16" t="s">
        <v>34</v>
      </c>
      <c r="D12" s="17" t="n">
        <v>3579261.3</v>
      </c>
      <c r="E12" s="18" t="n">
        <f aca="false">ROUND(D12*$M$5,2)</f>
        <v>107377.84</v>
      </c>
      <c r="F12" s="18" t="n">
        <f aca="false">ROUND(D12*$M$6,2)</f>
        <v>3579.26</v>
      </c>
      <c r="G12" s="18" t="n">
        <f aca="false">$M$7</f>
        <v>20000</v>
      </c>
      <c r="H12" s="19" t="n">
        <f aca="false">D12-E12-F12-G12</f>
        <v>3448304.2</v>
      </c>
      <c r="I12" s="18" t="n">
        <f aca="false">ROUND(D12*$M$8,2)</f>
        <v>35792.61</v>
      </c>
      <c r="J12" s="18" t="n">
        <f aca="false">ROUND(D12*$M$9,2)</f>
        <v>71585.23</v>
      </c>
    </row>
    <row r="13" customFormat="false" ht="15" hidden="false" customHeight="false" outlineLevel="0" collapsed="false">
      <c r="A13" s="6" t="n">
        <v>9</v>
      </c>
      <c r="B13" s="7" t="s">
        <v>35</v>
      </c>
      <c r="C13" s="8" t="s">
        <v>36</v>
      </c>
      <c r="D13" s="9" t="n">
        <v>3220705.66</v>
      </c>
      <c r="E13" s="10" t="n">
        <f aca="false">ROUND(D13*$M$5,2)</f>
        <v>96621.17</v>
      </c>
      <c r="F13" s="10" t="n">
        <f aca="false">ROUND(D13*$M$6,2)</f>
        <v>3220.71</v>
      </c>
      <c r="G13" s="10" t="n">
        <f aca="false">$M$7</f>
        <v>20000</v>
      </c>
      <c r="H13" s="11" t="n">
        <f aca="false">D13-E13-F13-G13</f>
        <v>3100863.78</v>
      </c>
      <c r="I13" s="10" t="n">
        <f aca="false">ROUND(D13*$M$8,2)</f>
        <v>32207.06</v>
      </c>
      <c r="J13" s="10" t="n">
        <f aca="false">ROUND(D13*$M$9,2)</f>
        <v>64414.11</v>
      </c>
    </row>
    <row r="14" customFormat="false" ht="15" hidden="false" customHeight="false" outlineLevel="0" collapsed="false">
      <c r="A14" s="14" t="n">
        <v>10</v>
      </c>
      <c r="B14" s="15" t="s">
        <v>37</v>
      </c>
      <c r="C14" s="16" t="s">
        <v>38</v>
      </c>
      <c r="D14" s="17" t="n">
        <v>2760916.41</v>
      </c>
      <c r="E14" s="18" t="n">
        <f aca="false">ROUND(D14*$M$5,2)</f>
        <v>82827.49</v>
      </c>
      <c r="F14" s="18" t="n">
        <f aca="false">ROUND(D14*$M$6,2)</f>
        <v>2760.92</v>
      </c>
      <c r="G14" s="18" t="n">
        <f aca="false">$M$7</f>
        <v>20000</v>
      </c>
      <c r="H14" s="19" t="n">
        <f aca="false">D14-E14-F14-G14</f>
        <v>2655328</v>
      </c>
      <c r="I14" s="18" t="n">
        <f aca="false">ROUND(D14*$M$8,2)</f>
        <v>27609.16</v>
      </c>
      <c r="J14" s="18" t="n">
        <f aca="false">ROUND(D14*$M$9,2)</f>
        <v>55218.33</v>
      </c>
    </row>
    <row r="15" customFormat="false" ht="15" hidden="false" customHeight="false" outlineLevel="0" collapsed="false">
      <c r="A15" s="6" t="n">
        <v>11</v>
      </c>
      <c r="B15" s="7" t="s">
        <v>39</v>
      </c>
      <c r="C15" s="8" t="s">
        <v>40</v>
      </c>
      <c r="D15" s="9" t="n">
        <v>2700000</v>
      </c>
      <c r="E15" s="10" t="n">
        <f aca="false">ROUND(D15*$M$5,2)</f>
        <v>81000</v>
      </c>
      <c r="F15" s="10" t="n">
        <f aca="false">ROUND(D15*$M$6,2)</f>
        <v>2700</v>
      </c>
      <c r="G15" s="10" t="n">
        <f aca="false">$M$7</f>
        <v>20000</v>
      </c>
      <c r="H15" s="11" t="n">
        <f aca="false">D15-E15-F15-G15</f>
        <v>2596300</v>
      </c>
      <c r="I15" s="10" t="n">
        <f aca="false">ROUND(D15*$M$8,2)</f>
        <v>27000</v>
      </c>
      <c r="J15" s="10" t="n">
        <f aca="false">ROUND(D15*$M$9,2)</f>
        <v>54000</v>
      </c>
    </row>
    <row r="16" customFormat="false" ht="15" hidden="false" customHeight="false" outlineLevel="0" collapsed="false">
      <c r="A16" s="14" t="n">
        <v>12</v>
      </c>
      <c r="B16" s="15" t="s">
        <v>41</v>
      </c>
      <c r="C16" s="16" t="s">
        <v>42</v>
      </c>
      <c r="D16" s="17" t="n">
        <v>2594203.43</v>
      </c>
      <c r="E16" s="18" t="n">
        <f aca="false">ROUND(D16*$M$5,2)</f>
        <v>77826.1</v>
      </c>
      <c r="F16" s="18" t="n">
        <f aca="false">ROUND(D16*$M$6,2)</f>
        <v>2594.2</v>
      </c>
      <c r="G16" s="18" t="n">
        <f aca="false">$M$7</f>
        <v>20000</v>
      </c>
      <c r="H16" s="19" t="n">
        <f aca="false">D16-E16-F16-G16</f>
        <v>2493783.13</v>
      </c>
      <c r="I16" s="18" t="n">
        <f aca="false">ROUND(D16*$M$8,2)</f>
        <v>25942.03</v>
      </c>
      <c r="J16" s="18" t="n">
        <f aca="false">ROUND(D16*$M$9,2)</f>
        <v>51884.07</v>
      </c>
    </row>
    <row r="17" customFormat="false" ht="15" hidden="false" customHeight="false" outlineLevel="0" collapsed="false">
      <c r="A17" s="6" t="n">
        <v>13</v>
      </c>
      <c r="B17" s="7" t="s">
        <v>43</v>
      </c>
      <c r="C17" s="8" t="s">
        <v>44</v>
      </c>
      <c r="D17" s="9" t="n">
        <v>2525000</v>
      </c>
      <c r="E17" s="10" t="n">
        <f aca="false">ROUND(D17*$M$5,2)</f>
        <v>75750</v>
      </c>
      <c r="F17" s="10" t="n">
        <f aca="false">ROUND(D17*$M$6,2)</f>
        <v>2525</v>
      </c>
      <c r="G17" s="10" t="n">
        <f aca="false">$M$7</f>
        <v>20000</v>
      </c>
      <c r="H17" s="11" t="n">
        <f aca="false">D17-E17-F17-G17</f>
        <v>2426725</v>
      </c>
      <c r="I17" s="10" t="n">
        <f aca="false">ROUND(D17*$M$8,2)</f>
        <v>25250</v>
      </c>
      <c r="J17" s="10" t="n">
        <f aca="false">ROUND(D17*$M$9,2)</f>
        <v>50500</v>
      </c>
    </row>
    <row r="18" customFormat="false" ht="15" hidden="false" customHeight="false" outlineLevel="0" collapsed="false">
      <c r="A18" s="14" t="n">
        <v>14</v>
      </c>
      <c r="B18" s="15" t="s">
        <v>45</v>
      </c>
      <c r="C18" s="16" t="s">
        <v>46</v>
      </c>
      <c r="D18" s="17" t="n">
        <v>2491000</v>
      </c>
      <c r="E18" s="18" t="n">
        <f aca="false">ROUND(D18*$M$5,2)</f>
        <v>74730</v>
      </c>
      <c r="F18" s="18" t="n">
        <f aca="false">ROUND(D18*$M$6,2)</f>
        <v>2491</v>
      </c>
      <c r="G18" s="18" t="n">
        <f aca="false">$M$7</f>
        <v>20000</v>
      </c>
      <c r="H18" s="19" t="n">
        <f aca="false">D18-E18-F18-G18</f>
        <v>2393779</v>
      </c>
      <c r="I18" s="18" t="n">
        <f aca="false">ROUND(D18*$M$8,2)</f>
        <v>24910</v>
      </c>
      <c r="J18" s="18" t="n">
        <f aca="false">ROUND(D18*$M$9,2)</f>
        <v>49820</v>
      </c>
    </row>
    <row r="19" customFormat="false" ht="15" hidden="false" customHeight="false" outlineLevel="0" collapsed="false">
      <c r="A19" s="6" t="n">
        <v>15</v>
      </c>
      <c r="B19" s="7" t="s">
        <v>47</v>
      </c>
      <c r="C19" s="8" t="s">
        <v>48</v>
      </c>
      <c r="D19" s="9" t="n">
        <v>2321599.26</v>
      </c>
      <c r="E19" s="10" t="n">
        <f aca="false">ROUND(D19*$M$5,2)</f>
        <v>69647.98</v>
      </c>
      <c r="F19" s="10" t="n">
        <f aca="false">ROUND(D19*$M$6,2)</f>
        <v>2321.6</v>
      </c>
      <c r="G19" s="10" t="n">
        <f aca="false">$M$7</f>
        <v>20000</v>
      </c>
      <c r="H19" s="11" t="n">
        <f aca="false">D19-E19-F19-G19</f>
        <v>2229629.68</v>
      </c>
      <c r="I19" s="10" t="n">
        <f aca="false">ROUND(D19*$M$8,2)</f>
        <v>23215.99</v>
      </c>
      <c r="J19" s="10" t="n">
        <f aca="false">ROUND(D19*$M$9,2)</f>
        <v>46431.99</v>
      </c>
    </row>
    <row r="20" customFormat="false" ht="15" hidden="false" customHeight="false" outlineLevel="0" collapsed="false">
      <c r="A20" s="14" t="n">
        <v>16</v>
      </c>
      <c r="B20" s="15" t="s">
        <v>49</v>
      </c>
      <c r="C20" s="16" t="s">
        <v>50</v>
      </c>
      <c r="D20" s="17" t="n">
        <v>2216745.21</v>
      </c>
      <c r="E20" s="18" t="n">
        <f aca="false">ROUND(D20*$M$5,2)</f>
        <v>66502.36</v>
      </c>
      <c r="F20" s="18" t="n">
        <f aca="false">ROUND(D20*$M$6,2)</f>
        <v>2216.75</v>
      </c>
      <c r="G20" s="18" t="n">
        <f aca="false">$M$7</f>
        <v>20000</v>
      </c>
      <c r="H20" s="19" t="n">
        <f aca="false">D20-E20-F20-G20</f>
        <v>2128026.1</v>
      </c>
      <c r="I20" s="18" t="n">
        <f aca="false">ROUND(D20*$M$8,2)</f>
        <v>22167.45</v>
      </c>
      <c r="J20" s="18" t="n">
        <f aca="false">ROUND(D20*$M$9,2)</f>
        <v>44334.9</v>
      </c>
    </row>
    <row r="21" customFormat="false" ht="15" hidden="false" customHeight="false" outlineLevel="0" collapsed="false">
      <c r="A21" s="6" t="n">
        <v>17</v>
      </c>
      <c r="B21" s="7" t="s">
        <v>51</v>
      </c>
      <c r="C21" s="8" t="s">
        <v>52</v>
      </c>
      <c r="D21" s="9" t="n">
        <v>2132563.04</v>
      </c>
      <c r="E21" s="10" t="n">
        <f aca="false">ROUND(D21*$M$5,2)</f>
        <v>63976.89</v>
      </c>
      <c r="F21" s="10" t="n">
        <f aca="false">ROUND(D21*$M$6,2)</f>
        <v>2132.56</v>
      </c>
      <c r="G21" s="10" t="n">
        <f aca="false">$M$7</f>
        <v>20000</v>
      </c>
      <c r="H21" s="11" t="n">
        <f aca="false">D21-E21-F21-G21</f>
        <v>2046453.59</v>
      </c>
      <c r="I21" s="10" t="n">
        <f aca="false">ROUND(D21*$M$8,2)</f>
        <v>21325.63</v>
      </c>
      <c r="J21" s="10" t="n">
        <f aca="false">ROUND(D21*$M$9,2)</f>
        <v>42651.26</v>
      </c>
    </row>
    <row r="22" customFormat="false" ht="15" hidden="false" customHeight="false" outlineLevel="0" collapsed="false">
      <c r="A22" s="14" t="n">
        <v>18</v>
      </c>
      <c r="B22" s="15" t="s">
        <v>53</v>
      </c>
      <c r="C22" s="16" t="s">
        <v>54</v>
      </c>
      <c r="D22" s="17" t="n">
        <v>2038793.63</v>
      </c>
      <c r="E22" s="18" t="n">
        <f aca="false">ROUND(D22*$M$5,2)</f>
        <v>61163.81</v>
      </c>
      <c r="F22" s="18" t="n">
        <f aca="false">ROUND(D22*$M$6,2)</f>
        <v>2038.79</v>
      </c>
      <c r="G22" s="18" t="n">
        <f aca="false">$M$7</f>
        <v>20000</v>
      </c>
      <c r="H22" s="19" t="n">
        <f aca="false">D22-E22-F22-G22</f>
        <v>1955591.03</v>
      </c>
      <c r="I22" s="18" t="n">
        <f aca="false">ROUND(D22*$M$8,2)</f>
        <v>20387.94</v>
      </c>
      <c r="J22" s="18" t="n">
        <f aca="false">ROUND(D22*$M$9,2)</f>
        <v>40775.87</v>
      </c>
    </row>
    <row r="23" customFormat="false" ht="15" hidden="false" customHeight="false" outlineLevel="0" collapsed="false">
      <c r="A23" s="6" t="n">
        <v>19</v>
      </c>
      <c r="B23" s="7" t="s">
        <v>55</v>
      </c>
      <c r="C23" s="8" t="s">
        <v>56</v>
      </c>
      <c r="D23" s="9" t="n">
        <v>2020475.92</v>
      </c>
      <c r="E23" s="10" t="n">
        <f aca="false">ROUND(D23*$M$5,2)</f>
        <v>60614.28</v>
      </c>
      <c r="F23" s="10" t="n">
        <f aca="false">ROUND(D23*$M$6,2)</f>
        <v>2020.48</v>
      </c>
      <c r="G23" s="10" t="n">
        <f aca="false">$M$7</f>
        <v>20000</v>
      </c>
      <c r="H23" s="11" t="n">
        <f aca="false">D23-E23-F23-G23</f>
        <v>1937841.16</v>
      </c>
      <c r="I23" s="10" t="n">
        <f aca="false">ROUND(D23*$M$8,2)</f>
        <v>20204.76</v>
      </c>
      <c r="J23" s="10" t="n">
        <f aca="false">ROUND(D23*$M$9,2)</f>
        <v>40409.52</v>
      </c>
    </row>
    <row r="24" customFormat="false" ht="15" hidden="false" customHeight="false" outlineLevel="0" collapsed="false">
      <c r="A24" s="14" t="n">
        <v>20</v>
      </c>
      <c r="B24" s="15" t="s">
        <v>57</v>
      </c>
      <c r="C24" s="16" t="s">
        <v>58</v>
      </c>
      <c r="D24" s="17" t="n">
        <v>2020248.15</v>
      </c>
      <c r="E24" s="18" t="n">
        <f aca="false">ROUND(D24*$M$5,2)</f>
        <v>60607.44</v>
      </c>
      <c r="F24" s="18" t="n">
        <f aca="false">ROUND(D24*$M$6,2)</f>
        <v>2020.25</v>
      </c>
      <c r="G24" s="18" t="n">
        <f aca="false">$M$7</f>
        <v>20000</v>
      </c>
      <c r="H24" s="19" t="n">
        <f aca="false">D24-E24-F24-G24</f>
        <v>1937620.46</v>
      </c>
      <c r="I24" s="18" t="n">
        <f aca="false">ROUND(D24*$M$8,2)</f>
        <v>20202.48</v>
      </c>
      <c r="J24" s="18" t="n">
        <f aca="false">ROUND(D24*$M$9,2)</f>
        <v>40404.96</v>
      </c>
    </row>
    <row r="25" customFormat="false" ht="15" hidden="false" customHeight="false" outlineLevel="0" collapsed="false">
      <c r="A25" s="6" t="n">
        <v>21</v>
      </c>
      <c r="B25" s="7" t="s">
        <v>59</v>
      </c>
      <c r="C25" s="8" t="s">
        <v>60</v>
      </c>
      <c r="D25" s="9" t="n">
        <v>1991962.87</v>
      </c>
      <c r="E25" s="10" t="n">
        <f aca="false">ROUND(D25*$M$5,2)</f>
        <v>59758.89</v>
      </c>
      <c r="F25" s="10" t="n">
        <f aca="false">ROUND(D25*$M$6,2)</f>
        <v>1991.96</v>
      </c>
      <c r="G25" s="10" t="n">
        <f aca="false">$M$7</f>
        <v>20000</v>
      </c>
      <c r="H25" s="11" t="n">
        <f aca="false">D25-E25-F25-G25</f>
        <v>1910212.02</v>
      </c>
      <c r="I25" s="10" t="n">
        <f aca="false">ROUND(D25*$M$8,2)</f>
        <v>19919.63</v>
      </c>
      <c r="J25" s="10" t="n">
        <f aca="false">ROUND(D25*$M$9,2)</f>
        <v>39839.26</v>
      </c>
    </row>
    <row r="26" customFormat="false" ht="15" hidden="false" customHeight="false" outlineLevel="0" collapsed="false">
      <c r="A26" s="14" t="n">
        <v>22</v>
      </c>
      <c r="B26" s="15" t="s">
        <v>61</v>
      </c>
      <c r="C26" s="16" t="s">
        <v>62</v>
      </c>
      <c r="D26" s="17" t="n">
        <v>1732212.5</v>
      </c>
      <c r="E26" s="18" t="n">
        <f aca="false">ROUND(D26*$M$5,2)</f>
        <v>51966.38</v>
      </c>
      <c r="F26" s="18" t="n">
        <f aca="false">ROUND(D26*$M$6,2)</f>
        <v>1732.21</v>
      </c>
      <c r="G26" s="18" t="n">
        <f aca="false">$M$7</f>
        <v>20000</v>
      </c>
      <c r="H26" s="19" t="n">
        <f aca="false">D26-E26-F26-G26</f>
        <v>1658513.91</v>
      </c>
      <c r="I26" s="18" t="n">
        <f aca="false">ROUND(D26*$M$8,2)</f>
        <v>17322.13</v>
      </c>
      <c r="J26" s="18" t="n">
        <f aca="false">ROUND(D26*$M$9,2)</f>
        <v>34644.25</v>
      </c>
    </row>
    <row r="27" customFormat="false" ht="15" hidden="false" customHeight="false" outlineLevel="0" collapsed="false">
      <c r="A27" s="6" t="n">
        <v>23</v>
      </c>
      <c r="B27" s="7" t="s">
        <v>63</v>
      </c>
      <c r="C27" s="8" t="s">
        <v>64</v>
      </c>
      <c r="D27" s="9" t="n">
        <v>1688235.81</v>
      </c>
      <c r="E27" s="10" t="n">
        <f aca="false">ROUND(D27*$M$5,2)</f>
        <v>50647.07</v>
      </c>
      <c r="F27" s="10" t="n">
        <f aca="false">ROUND(D27*$M$6,2)</f>
        <v>1688.24</v>
      </c>
      <c r="G27" s="10" t="n">
        <f aca="false">$M$7</f>
        <v>20000</v>
      </c>
      <c r="H27" s="11" t="n">
        <f aca="false">D27-E27-F27-G27</f>
        <v>1615900.5</v>
      </c>
      <c r="I27" s="10" t="n">
        <f aca="false">ROUND(D27*$M$8,2)</f>
        <v>16882.36</v>
      </c>
      <c r="J27" s="10" t="n">
        <f aca="false">ROUND(D27*$M$9,2)</f>
        <v>33764.72</v>
      </c>
    </row>
    <row r="28" customFormat="false" ht="15" hidden="false" customHeight="false" outlineLevel="0" collapsed="false">
      <c r="A28" s="14" t="n">
        <v>24</v>
      </c>
      <c r="B28" s="15" t="s">
        <v>65</v>
      </c>
      <c r="C28" s="16" t="s">
        <v>66</v>
      </c>
      <c r="D28" s="17" t="n">
        <v>1475000</v>
      </c>
      <c r="E28" s="18" t="n">
        <f aca="false">ROUND(D28*$M$5,2)</f>
        <v>44250</v>
      </c>
      <c r="F28" s="18" t="n">
        <f aca="false">ROUND(D28*$M$6,2)</f>
        <v>1475</v>
      </c>
      <c r="G28" s="18" t="n">
        <f aca="false">$M$7</f>
        <v>20000</v>
      </c>
      <c r="H28" s="19" t="n">
        <f aca="false">D28-E28-F28-G28</f>
        <v>1409275</v>
      </c>
      <c r="I28" s="18" t="n">
        <f aca="false">ROUND(D28*$M$8,2)</f>
        <v>14750</v>
      </c>
      <c r="J28" s="18" t="n">
        <f aca="false">ROUND(D28*$M$9,2)</f>
        <v>29500</v>
      </c>
    </row>
    <row r="29" customFormat="false" ht="15" hidden="false" customHeight="false" outlineLevel="0" collapsed="false">
      <c r="A29" s="6" t="n">
        <v>25</v>
      </c>
      <c r="B29" s="7" t="s">
        <v>67</v>
      </c>
      <c r="C29" s="8" t="s">
        <v>68</v>
      </c>
      <c r="D29" s="9" t="n">
        <v>1367572.25</v>
      </c>
      <c r="E29" s="10" t="n">
        <f aca="false">ROUND(D29*$M$5,2)</f>
        <v>41027.17</v>
      </c>
      <c r="F29" s="10" t="n">
        <f aca="false">ROUND(D29*$M$6,2)</f>
        <v>1367.57</v>
      </c>
      <c r="G29" s="10" t="n">
        <f aca="false">$M$7</f>
        <v>20000</v>
      </c>
      <c r="H29" s="11" t="n">
        <f aca="false">D29-E29-F29-G29</f>
        <v>1305177.51</v>
      </c>
      <c r="I29" s="10" t="n">
        <f aca="false">ROUND(D29*$M$8,2)</f>
        <v>13675.72</v>
      </c>
      <c r="J29" s="10" t="n">
        <f aca="false">ROUND(D29*$M$9,2)</f>
        <v>27351.45</v>
      </c>
    </row>
    <row r="30" customFormat="false" ht="15" hidden="false" customHeight="false" outlineLevel="0" collapsed="false">
      <c r="A30" s="14" t="n">
        <v>26</v>
      </c>
      <c r="B30" s="15" t="s">
        <v>69</v>
      </c>
      <c r="C30" s="16" t="s">
        <v>70</v>
      </c>
      <c r="D30" s="17" t="n">
        <v>1250000</v>
      </c>
      <c r="E30" s="18" t="n">
        <f aca="false">ROUND(D30*$M$5,2)</f>
        <v>37500</v>
      </c>
      <c r="F30" s="18" t="n">
        <f aca="false">ROUND(D30*$M$6,2)</f>
        <v>1250</v>
      </c>
      <c r="G30" s="18" t="n">
        <f aca="false">$M$7</f>
        <v>20000</v>
      </c>
      <c r="H30" s="19" t="n">
        <f aca="false">D30-E30-F30-G30</f>
        <v>1191250</v>
      </c>
      <c r="I30" s="18" t="n">
        <f aca="false">ROUND(D30*$M$8,2)</f>
        <v>12500</v>
      </c>
      <c r="J30" s="18" t="n">
        <f aca="false">ROUND(D30*$M$9,2)</f>
        <v>25000</v>
      </c>
    </row>
    <row r="31" customFormat="false" ht="15" hidden="false" customHeight="false" outlineLevel="0" collapsed="false">
      <c r="A31" s="6" t="n">
        <v>27</v>
      </c>
      <c r="B31" s="7" t="s">
        <v>71</v>
      </c>
      <c r="C31" s="8" t="s">
        <v>72</v>
      </c>
      <c r="D31" s="9" t="n">
        <v>1190668.8</v>
      </c>
      <c r="E31" s="10" t="n">
        <f aca="false">ROUND(D31*$M$5,2)</f>
        <v>35720.06</v>
      </c>
      <c r="F31" s="10" t="n">
        <f aca="false">ROUND(D31*$M$6,2)</f>
        <v>1190.67</v>
      </c>
      <c r="G31" s="10" t="n">
        <f aca="false">$M$7</f>
        <v>20000</v>
      </c>
      <c r="H31" s="11" t="n">
        <f aca="false">D31-E31-F31-G31</f>
        <v>1133758.07</v>
      </c>
      <c r="I31" s="10" t="n">
        <f aca="false">ROUND(D31*$M$8,2)</f>
        <v>11906.69</v>
      </c>
      <c r="J31" s="10" t="n">
        <f aca="false">ROUND(D31*$M$9,2)</f>
        <v>23813.38</v>
      </c>
    </row>
    <row r="32" customFormat="false" ht="15" hidden="false" customHeight="false" outlineLevel="0" collapsed="false">
      <c r="A32" s="14" t="n">
        <v>28</v>
      </c>
      <c r="B32" s="15" t="s">
        <v>73</v>
      </c>
      <c r="C32" s="16" t="s">
        <v>74</v>
      </c>
      <c r="D32" s="17" t="n">
        <v>1103130.61</v>
      </c>
      <c r="E32" s="18" t="n">
        <f aca="false">ROUND(D32*$M$5,2)</f>
        <v>33093.92</v>
      </c>
      <c r="F32" s="18" t="n">
        <f aca="false">ROUND(D32*$M$6,2)</f>
        <v>1103.13</v>
      </c>
      <c r="G32" s="18" t="n">
        <f aca="false">$M$7</f>
        <v>20000</v>
      </c>
      <c r="H32" s="19" t="n">
        <f aca="false">D32-E32-F32-G32</f>
        <v>1048933.56</v>
      </c>
      <c r="I32" s="18" t="n">
        <f aca="false">ROUND(D32*$M$8,2)</f>
        <v>11031.31</v>
      </c>
      <c r="J32" s="18" t="n">
        <f aca="false">ROUND(D32*$M$9,2)</f>
        <v>22062.61</v>
      </c>
    </row>
    <row r="33" customFormat="false" ht="15" hidden="false" customHeight="false" outlineLevel="0" collapsed="false">
      <c r="A33" s="6" t="n">
        <v>29</v>
      </c>
      <c r="B33" s="7" t="s">
        <v>75</v>
      </c>
      <c r="C33" s="8" t="s">
        <v>76</v>
      </c>
      <c r="D33" s="9" t="n">
        <v>984719.09</v>
      </c>
      <c r="E33" s="10" t="n">
        <f aca="false">ROUND(D33*$M$5,2)</f>
        <v>29541.57</v>
      </c>
      <c r="F33" s="10" t="n">
        <f aca="false">ROUND(D33*$M$6,2)</f>
        <v>984.72</v>
      </c>
      <c r="G33" s="10" t="n">
        <f aca="false">$M$7</f>
        <v>20000</v>
      </c>
      <c r="H33" s="11" t="n">
        <f aca="false">D33-E33-F33-G33</f>
        <v>934192.8</v>
      </c>
      <c r="I33" s="10" t="n">
        <f aca="false">ROUND(D33*$M$8,2)</f>
        <v>9847.19</v>
      </c>
      <c r="J33" s="10" t="n">
        <f aca="false">ROUND(D33*$M$9,2)</f>
        <v>19694.38</v>
      </c>
    </row>
    <row r="34" customFormat="false" ht="24" hidden="false" customHeight="true" outlineLevel="0" collapsed="false">
      <c r="A34" s="22"/>
      <c r="B34" s="22"/>
      <c r="C34" s="22" t="s">
        <v>77</v>
      </c>
      <c r="D34" s="23" t="n">
        <f aca="false">SUM(D5:D33)</f>
        <v>85323242.89</v>
      </c>
      <c r="E34" s="23" t="n">
        <f aca="false">SUM(E5:E33)</f>
        <v>2559697.28</v>
      </c>
      <c r="F34" s="23" t="n">
        <f aca="false">SUM(F5:F33)</f>
        <v>85323.25</v>
      </c>
      <c r="G34" s="23" t="n">
        <f aca="false">SUM(G5:G33)</f>
        <v>580000</v>
      </c>
      <c r="H34" s="23" t="n">
        <f aca="false">SUM(H5:H33)</f>
        <v>82098222.36</v>
      </c>
      <c r="I34" s="23" t="n">
        <f aca="false">SUM(I5:I33)</f>
        <v>853232.44</v>
      </c>
      <c r="J34" s="23" t="n">
        <f aca="false">SUM(J5:J33)</f>
        <v>1706464.87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2026-09-29T16:44:39Z</dcterms:created>
  <dc:creator>openpyxl</dc:creator>
  <dc:description/>
  <dc:language>en-US</dc:language>
  <cp:lastModifiedBy/>
  <dcterms:modified xsi:type="dcterms:W3CDTF">2026-09-29T16:44:39Z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