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SA Transac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<sst xmlns="http://schemas.openxmlformats.org/spreadsheetml/2006/main" count="199" uniqueCount="199">
  <si>
    <t xml:space="preserve">ASASU REALTY ABUJA</t>
  </si>
  <si>
    <t xml:space="preserve">25% RSA TRANSACTIONS, 23RD JULY 2026</t>
  </si>
  <si>
    <t xml:space="preserve">S/No</t>
  </si>
  <si>
    <t xml:space="preserve">ACCT NO.</t>
  </si>
  <si>
    <t xml:space="preserve">ACCT NAME</t>
  </si>
  <si>
    <t xml:space="preserve">RSA AMOUNT</t>
  </si>
  <si>
    <t xml:space="preserve">3% SERV.CHG</t>
  </si>
  <si>
    <t xml:space="preserve">0.1% A/MT</t>
  </si>
  <si>
    <t xml:space="preserve">ACCT.BAL</t>
  </si>
  <si>
    <t xml:space="preserve">NET</t>
  </si>
  <si>
    <t xml:space="preserve">1% SERV.CHG</t>
  </si>
  <si>
    <t xml:space="preserve">2% SERV.CHG</t>
  </si>
  <si>
    <t xml:space="preserve">001221281961</t>
  </si>
  <si>
    <t xml:space="preserve">BASILA, CHAFARI DENIS</t>
  </si>
  <si>
    <t xml:space="preserve">001282224491</t>
  </si>
  <si>
    <t xml:space="preserve">OKONEDO, JENNIFER OSHENE</t>
  </si>
  <si>
    <t xml:space="preserve">001281982361</t>
  </si>
  <si>
    <t xml:space="preserve">LUKA, KASIMU MANESER</t>
  </si>
  <si>
    <t xml:space="preserve">001282113081</t>
  </si>
  <si>
    <t xml:space="preserve">OKAH, MOHAMMED</t>
  </si>
  <si>
    <t xml:space="preserve">001281784501</t>
  </si>
  <si>
    <t xml:space="preserve">JOHN, HUSSAINA</t>
  </si>
  <si>
    <t xml:space="preserve">001281982341</t>
  </si>
  <si>
    <t xml:space="preserve">AMAGBO, MAKAMA TANKO</t>
  </si>
  <si>
    <t xml:space="preserve">001282195261</t>
  </si>
  <si>
    <t xml:space="preserve">SHAIBU, JOSHUA</t>
  </si>
  <si>
    <t xml:space="preserve">001282307481</t>
  </si>
  <si>
    <t xml:space="preserve">POPOOLA, OLADAYO RASHEED</t>
  </si>
  <si>
    <t xml:space="preserve">001282339151</t>
  </si>
  <si>
    <t xml:space="preserve">SANNI, ADEBOWALE RASHEED</t>
  </si>
  <si>
    <t xml:space="preserve">001282111901</t>
  </si>
  <si>
    <t xml:space="preserve">JOEL, ABDULKANIBE MALLAM</t>
  </si>
  <si>
    <t xml:space="preserve">001282246241</t>
  </si>
  <si>
    <t xml:space="preserve">CLARK, MAIKUDI TIMI</t>
  </si>
  <si>
    <t xml:space="preserve">001282043361</t>
  </si>
  <si>
    <t xml:space="preserve">BOYINBODE, OLADEJI FOLORU</t>
  </si>
  <si>
    <t xml:space="preserve">001282353381</t>
  </si>
  <si>
    <t xml:space="preserve">KIM, ESTHER GAROS</t>
  </si>
  <si>
    <t xml:space="preserve">001282291681</t>
  </si>
  <si>
    <t xml:space="preserve">IMARHIA, SAMUEL OZOEMEZI</t>
  </si>
  <si>
    <t xml:space="preserve">001282206891</t>
  </si>
  <si>
    <t xml:space="preserve">MARIA-GORETTI, CHINASA OK</t>
  </si>
  <si>
    <t xml:space="preserve">001282304661</t>
  </si>
  <si>
    <t xml:space="preserve">ODITA, CHRISTIANAH IBIRON</t>
  </si>
  <si>
    <t xml:space="preserve">001282354731</t>
  </si>
  <si>
    <t xml:space="preserve">JAJA, BOMA BASIL</t>
  </si>
  <si>
    <t xml:space="preserve">001282222511</t>
  </si>
  <si>
    <t xml:space="preserve">BANK-AKINNUOYE, RACHAEL T</t>
  </si>
  <si>
    <t xml:space="preserve">001281980091</t>
  </si>
  <si>
    <t xml:space="preserve">OBALOTO, BABATUNDE OLARI</t>
  </si>
  <si>
    <t xml:space="preserve">001281929241</t>
  </si>
  <si>
    <t xml:space="preserve">ADEKUNLE, ELIZABETH BIODU</t>
  </si>
  <si>
    <t xml:space="preserve">001281995681</t>
  </si>
  <si>
    <t xml:space="preserve">OTRTWAV, ZENDESHA SYLVES</t>
  </si>
  <si>
    <t xml:space="preserve">001282110081</t>
  </si>
  <si>
    <t xml:space="preserve">AKINOLA, AKINLABI ONIYIDE</t>
  </si>
  <si>
    <t xml:space="preserve">001282306221</t>
  </si>
  <si>
    <t xml:space="preserve">ETIM, MAUREEN AKANINO</t>
  </si>
  <si>
    <t xml:space="preserve">001281722591</t>
  </si>
  <si>
    <t xml:space="preserve">UGDALA, LAURATU ULOMA</t>
  </si>
  <si>
    <t xml:space="preserve">001282203981</t>
  </si>
  <si>
    <t xml:space="preserve">NANZING, SUZAN SELYA</t>
  </si>
  <si>
    <t xml:space="preserve">001282356251</t>
  </si>
  <si>
    <t xml:space="preserve">LAARO, BOLAJI SULEIMAN</t>
  </si>
  <si>
    <t xml:space="preserve">001282201991</t>
  </si>
  <si>
    <t xml:space="preserve">AYODELE, KANISURU EMMANU</t>
  </si>
  <si>
    <t xml:space="preserve">001282307671</t>
  </si>
  <si>
    <t xml:space="preserve">AGBALA, OBADIAH</t>
  </si>
  <si>
    <t xml:space="preserve">001282306081</t>
  </si>
  <si>
    <t xml:space="preserve">ADEEKO, JOHNSON BABATUNI</t>
  </si>
  <si>
    <t xml:space="preserve">001282132511</t>
  </si>
  <si>
    <t xml:space="preserve">AMAO, DAVID ABIODUN</t>
  </si>
  <si>
    <t xml:space="preserve">001282264141</t>
  </si>
  <si>
    <t xml:space="preserve">JEGEDE, MOSES SUNDAY</t>
  </si>
  <si>
    <t xml:space="preserve">001282330051</t>
  </si>
  <si>
    <t xml:space="preserve">UGWU, NKECHI EUCHARIA</t>
  </si>
  <si>
    <t xml:space="preserve">001281783311</t>
  </si>
  <si>
    <t xml:space="preserve">EPHRAIM, REBECCA ATINUKE</t>
  </si>
  <si>
    <t xml:space="preserve">001281783101</t>
  </si>
  <si>
    <t xml:space="preserve">OBI, CHIOMA EZIFE</t>
  </si>
  <si>
    <t xml:space="preserve">001282357971</t>
  </si>
  <si>
    <t xml:space="preserve">ELABOR, KARIM</t>
  </si>
  <si>
    <t xml:space="preserve">001282063681</t>
  </si>
  <si>
    <t xml:space="preserve">GODOWOLI, BABAYO HARUNA</t>
  </si>
  <si>
    <t xml:space="preserve">001282204741</t>
  </si>
  <si>
    <t xml:space="preserve">BARAU, SAMSON</t>
  </si>
  <si>
    <t xml:space="preserve">001282374111</t>
  </si>
  <si>
    <t xml:space="preserve">OGBO, CLEMENT OYIBO</t>
  </si>
  <si>
    <t xml:space="preserve">001282279371</t>
  </si>
  <si>
    <t xml:space="preserve">HUNPE, SUNDAY STEPHEN</t>
  </si>
  <si>
    <t xml:space="preserve">001281676441</t>
  </si>
  <si>
    <t xml:space="preserve">GARBA, MUHAMMAD KABIRU</t>
  </si>
  <si>
    <t xml:space="preserve">001282357921</t>
  </si>
  <si>
    <t xml:space="preserve">KALLA, BINTU ALI</t>
  </si>
  <si>
    <t xml:space="preserve">001282291661</t>
  </si>
  <si>
    <t xml:space="preserve">OLAITAN, ADEBUKOLA MOTUN</t>
  </si>
  <si>
    <t xml:space="preserve">001282291641</t>
  </si>
  <si>
    <t xml:space="preserve">OKE, OYEGUNLE EMMANUEL</t>
  </si>
  <si>
    <t xml:space="preserve">001281905001</t>
  </si>
  <si>
    <t xml:space="preserve">SALEH, HASSAN NADANGI</t>
  </si>
  <si>
    <t xml:space="preserve">001282171721</t>
  </si>
  <si>
    <t xml:space="preserve">OKUNLOLA, OLUBUKOLA TOLA</t>
  </si>
  <si>
    <t xml:space="preserve">001282001521</t>
  </si>
  <si>
    <t xml:space="preserve">ISHAYA, BRISKA UTUNG</t>
  </si>
  <si>
    <t xml:space="preserve">001282210751</t>
  </si>
  <si>
    <t xml:space="preserve">RABIU, TASIU MUHAMMAD</t>
  </si>
  <si>
    <t xml:space="preserve">001282203251</t>
  </si>
  <si>
    <t xml:space="preserve">LUCKY-OWHONDA, CHIKABADU</t>
  </si>
  <si>
    <t xml:space="preserve">001282098521</t>
  </si>
  <si>
    <t xml:space="preserve">OLUYORI, OLUGBENGA</t>
  </si>
  <si>
    <t xml:space="preserve">001281803211</t>
  </si>
  <si>
    <t xml:space="preserve">YAKUBU, ROSEMARY</t>
  </si>
  <si>
    <t xml:space="preserve">001282064181</t>
  </si>
  <si>
    <t xml:space="preserve">OKE, OLUGBADE GABRIEL</t>
  </si>
  <si>
    <t xml:space="preserve">001281838951</t>
  </si>
  <si>
    <t xml:space="preserve">SALE, USMAN AUWALU</t>
  </si>
  <si>
    <t xml:space="preserve">001282355391</t>
  </si>
  <si>
    <t xml:space="preserve">ABDULMALIK, SAFIYA</t>
  </si>
  <si>
    <t xml:space="preserve">001281699111</t>
  </si>
  <si>
    <t xml:space="preserve">MUSA, SOLOMON</t>
  </si>
  <si>
    <t xml:space="preserve">001282326271</t>
  </si>
  <si>
    <t xml:space="preserve">ONUOHA, KENNEDY</t>
  </si>
  <si>
    <t xml:space="preserve">001282274481</t>
  </si>
  <si>
    <t xml:space="preserve">IHEZUO, NONYELUM VIVIAN</t>
  </si>
  <si>
    <t xml:space="preserve">001282329331</t>
  </si>
  <si>
    <t xml:space="preserve">OBERE, BATAMBARI</t>
  </si>
  <si>
    <t xml:space="preserve">001282125741</t>
  </si>
  <si>
    <t xml:space="preserve">MUREALEWE, CLETUS</t>
  </si>
  <si>
    <t xml:space="preserve">001281636861</t>
  </si>
  <si>
    <t xml:space="preserve">ONUMINYA, PETER</t>
  </si>
  <si>
    <t xml:space="preserve">001282339241</t>
  </si>
  <si>
    <t xml:space="preserve">IORHEMEN, TERSOO PETER</t>
  </si>
  <si>
    <t xml:space="preserve">001282387781</t>
  </si>
  <si>
    <t xml:space="preserve">AKPOWOMARE, SAMUEL IFOW</t>
  </si>
  <si>
    <t xml:space="preserve">001282274981</t>
  </si>
  <si>
    <t xml:space="preserve">NWOKOMA-ATA, JOYCE NENE</t>
  </si>
  <si>
    <t xml:space="preserve">001282291651</t>
  </si>
  <si>
    <t xml:space="preserve">YEKINI, BULIAMINU ADENIYI</t>
  </si>
  <si>
    <t xml:space="preserve">001281722421</t>
  </si>
  <si>
    <t xml:space="preserve">ONYEGWAM, STEPHEN OKECHU</t>
  </si>
  <si>
    <t xml:space="preserve">001282247881</t>
  </si>
  <si>
    <t xml:space="preserve">ADETAYO, MUYIWA SABEED</t>
  </si>
  <si>
    <t xml:space="preserve">001282112401</t>
  </si>
  <si>
    <t xml:space="preserve">TUBOALABO, EVELYN MBU</t>
  </si>
  <si>
    <t xml:space="preserve">001282093431</t>
  </si>
  <si>
    <t xml:space="preserve">ADAMU, ABUBAKAR</t>
  </si>
  <si>
    <t xml:space="preserve">001282306641</t>
  </si>
  <si>
    <t xml:space="preserve">JIMOH, EMMANUEL OSHOMAH</t>
  </si>
  <si>
    <t xml:space="preserve">001282212301</t>
  </si>
  <si>
    <t xml:space="preserve">IBRAHIM, ADEIZE JIMOH</t>
  </si>
  <si>
    <t xml:space="preserve">001282338851</t>
  </si>
  <si>
    <t xml:space="preserve">AKPAN, JOSEPH MICHAEL</t>
  </si>
  <si>
    <t xml:space="preserve">001282279201</t>
  </si>
  <si>
    <t xml:space="preserve">SORUNKE, OLADIPUPO MATHE</t>
  </si>
  <si>
    <t xml:space="preserve">001282199161</t>
  </si>
  <si>
    <t xml:space="preserve">BOYI, BUSAYO ABAJESUDE</t>
  </si>
  <si>
    <t xml:space="preserve">001282064051</t>
  </si>
  <si>
    <t xml:space="preserve">HABAKUK, MARTINA SHAYE</t>
  </si>
  <si>
    <t xml:space="preserve">001282086191</t>
  </si>
  <si>
    <t xml:space="preserve">BUBA, ASMAU</t>
  </si>
  <si>
    <t xml:space="preserve">001282307341</t>
  </si>
  <si>
    <t xml:space="preserve">AWEDA, KABIRU BELLO</t>
  </si>
  <si>
    <t xml:space="preserve">001282386101</t>
  </si>
  <si>
    <t xml:space="preserve">VINCENT, TESSY CHINYEKE</t>
  </si>
  <si>
    <t xml:space="preserve">001282305971</t>
  </si>
  <si>
    <t xml:space="preserve">SAADU, KABIRU</t>
  </si>
  <si>
    <t xml:space="preserve">001282243761</t>
  </si>
  <si>
    <t xml:space="preserve">LAWAL, MUSTAPHA</t>
  </si>
  <si>
    <t xml:space="preserve">001282358321</t>
  </si>
  <si>
    <t xml:space="preserve">ABUBAKAR, IDAYAT</t>
  </si>
  <si>
    <t xml:space="preserve">001282171711</t>
  </si>
  <si>
    <t xml:space="preserve">OGUNMOLOYE, CHARLES EBEN</t>
  </si>
  <si>
    <t xml:space="preserve">001282171671</t>
  </si>
  <si>
    <t xml:space="preserve">ADEKOLA, MUKAILA BABATUNI</t>
  </si>
  <si>
    <t xml:space="preserve">001282150041</t>
  </si>
  <si>
    <t xml:space="preserve">ISMAILA, HASSAN</t>
  </si>
  <si>
    <t xml:space="preserve">001281635711</t>
  </si>
  <si>
    <t xml:space="preserve">ILIYASU, MOHAMMED</t>
  </si>
  <si>
    <t xml:space="preserve">001282329481</t>
  </si>
  <si>
    <t xml:space="preserve">OKON, ANTHONY SAMUEL</t>
  </si>
  <si>
    <t xml:space="preserve">001282255361</t>
  </si>
  <si>
    <t xml:space="preserve">KWAS, LOVETH ISHAYA</t>
  </si>
  <si>
    <t xml:space="preserve">001281635771</t>
  </si>
  <si>
    <t xml:space="preserve">MOHAMMED, MUSA</t>
  </si>
  <si>
    <t xml:space="preserve">001281814291</t>
  </si>
  <si>
    <t xml:space="preserve">ADAMU, MUSA</t>
  </si>
  <si>
    <t xml:space="preserve">001281353541</t>
  </si>
  <si>
    <t xml:space="preserve">EZRA, HASSAN</t>
  </si>
  <si>
    <t xml:space="preserve">001282050811</t>
  </si>
  <si>
    <t xml:space="preserve">OJO, VERONICA OMOBOLAJI</t>
  </si>
  <si>
    <t xml:space="preserve">001282208851</t>
  </si>
  <si>
    <t xml:space="preserve">ABDULMALIK, YUGUDA</t>
  </si>
  <si>
    <t xml:space="preserve">001282264061</t>
  </si>
  <si>
    <t xml:space="preserve">ABDULLAHI, MOHAMMED</t>
  </si>
  <si>
    <t xml:space="preserve">001282068701</t>
  </si>
  <si>
    <t xml:space="preserve">USMAN, MUHAMMAD</t>
  </si>
  <si>
    <t xml:space="preserve">001282204701</t>
  </si>
  <si>
    <t xml:space="preserve">USMAN, YAHAYA DANLAMI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</si>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</sst>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10" min="9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5" hidden="false" customHeight="false" outlineLevel="0" collapsed="false">
      <c r="A4" s="4" t="n">
        <v>1</v>
      </c>
      <c r="B4" s="4" t="s">
        <v>12</v>
      </c>
      <c r="C4" s="5" t="s">
        <v>13</v>
      </c>
      <c r="D4" s="6" t="n">
        <v>6545151.42</v>
      </c>
      <c r="E4" s="6" t="n">
        <f aca="false">D4*0.03</f>
        <v>196354.5426</v>
      </c>
      <c r="F4" s="6" t="n">
        <f aca="false">D4*0.001</f>
        <v>6545.15142</v>
      </c>
      <c r="G4" s="6" t="n">
        <v>20000</v>
      </c>
      <c r="H4" s="6" t="n">
        <f aca="false">D4-E4-F4-G4</f>
        <v>6322251.72598</v>
      </c>
      <c r="I4" s="6" t="n">
        <f aca="false">D4*0.01</f>
        <v>65451.5142</v>
      </c>
      <c r="J4" s="6" t="n">
        <f aca="false">D4*0.02</f>
        <v>130903.0284</v>
      </c>
    </row>
    <row r="5" customFormat="false" ht="15" hidden="false" customHeight="false" outlineLevel="0" collapsed="false">
      <c r="A5" s="4" t="n">
        <v>2</v>
      </c>
      <c r="B5" s="4" t="s">
        <v>14</v>
      </c>
      <c r="C5" s="5" t="s">
        <v>15</v>
      </c>
      <c r="D5" s="6" t="n">
        <v>2691974.23</v>
      </c>
      <c r="E5" s="6" t="n">
        <f aca="false">D5*0.03</f>
        <v>80759.2269</v>
      </c>
      <c r="F5" s="6" t="n">
        <f aca="false">D5*0.001</f>
        <v>2691.97423</v>
      </c>
      <c r="G5" s="6" t="n">
        <v>20000</v>
      </c>
      <c r="H5" s="6" t="n">
        <f aca="false">D5-E5-F5-G5</f>
        <v>2588523.02887</v>
      </c>
      <c r="I5" s="6" t="n">
        <f aca="false">D5*0.01</f>
        <v>26919.7423</v>
      </c>
      <c r="J5" s="6" t="n">
        <f aca="false">D5*0.02</f>
        <v>53839.4846</v>
      </c>
    </row>
    <row r="6" customFormat="false" ht="15" hidden="false" customHeight="false" outlineLevel="0" collapsed="false">
      <c r="A6" s="4" t="n">
        <v>3</v>
      </c>
      <c r="B6" s="4" t="s">
        <v>16</v>
      </c>
      <c r="C6" s="5" t="s">
        <v>17</v>
      </c>
      <c r="D6" s="6" t="n">
        <v>2250000</v>
      </c>
      <c r="E6" s="6" t="n">
        <f aca="false">D6*0.03</f>
        <v>67500</v>
      </c>
      <c r="F6" s="6" t="n">
        <f aca="false">D6*0.001</f>
        <v>2250</v>
      </c>
      <c r="G6" s="6" t="n">
        <v>20000</v>
      </c>
      <c r="H6" s="6" t="n">
        <f aca="false">D6-E6-F6-G6</f>
        <v>2160250</v>
      </c>
      <c r="I6" s="6" t="n">
        <f aca="false">D6*0.01</f>
        <v>22500</v>
      </c>
      <c r="J6" s="6" t="n">
        <f aca="false">D6*0.02</f>
        <v>45000</v>
      </c>
    </row>
    <row r="7" customFormat="false" ht="15" hidden="false" customHeight="false" outlineLevel="0" collapsed="false">
      <c r="A7" s="4" t="n">
        <v>4</v>
      </c>
      <c r="B7" s="4" t="s">
        <v>18</v>
      </c>
      <c r="C7" s="5" t="s">
        <v>19</v>
      </c>
      <c r="D7" s="6" t="n">
        <v>2100000</v>
      </c>
      <c r="E7" s="6" t="n">
        <f aca="false">D7*0.03</f>
        <v>63000</v>
      </c>
      <c r="F7" s="6" t="n">
        <f aca="false">D7*0.001</f>
        <v>2100</v>
      </c>
      <c r="G7" s="6" t="n">
        <v>20000</v>
      </c>
      <c r="H7" s="6" t="n">
        <f aca="false">D7-E7-F7-G7</f>
        <v>2014900</v>
      </c>
      <c r="I7" s="6" t="n">
        <f aca="false">D7*0.01</f>
        <v>21000</v>
      </c>
      <c r="J7" s="6" t="n">
        <f aca="false">D7*0.02</f>
        <v>42000</v>
      </c>
    </row>
    <row r="8" customFormat="false" ht="15" hidden="false" customHeight="false" outlineLevel="0" collapsed="false">
      <c r="A8" s="4" t="n">
        <v>5</v>
      </c>
      <c r="B8" s="4" t="s">
        <v>20</v>
      </c>
      <c r="C8" s="5" t="s">
        <v>21</v>
      </c>
      <c r="D8" s="6" t="n">
        <v>1912500</v>
      </c>
      <c r="E8" s="6" t="n">
        <f aca="false">D8*0.03</f>
        <v>57375</v>
      </c>
      <c r="F8" s="6" t="n">
        <f aca="false">D8*0.001</f>
        <v>1912.5</v>
      </c>
      <c r="G8" s="6" t="n">
        <v>20000</v>
      </c>
      <c r="H8" s="6" t="n">
        <f aca="false">D8-E8-F8-G8</f>
        <v>1833212.5</v>
      </c>
      <c r="I8" s="6" t="n">
        <f aca="false">D8*0.01</f>
        <v>19125</v>
      </c>
      <c r="J8" s="6" t="n">
        <f aca="false">D8*0.02</f>
        <v>38250</v>
      </c>
    </row>
    <row r="9" customFormat="false" ht="15" hidden="false" customHeight="false" outlineLevel="0" collapsed="false">
      <c r="A9" s="4" t="n">
        <v>6</v>
      </c>
      <c r="B9" s="4" t="s">
        <v>22</v>
      </c>
      <c r="C9" s="5" t="s">
        <v>23</v>
      </c>
      <c r="D9" s="6" t="n">
        <v>1750000</v>
      </c>
      <c r="E9" s="6" t="n">
        <f aca="false">D9*0.03</f>
        <v>52500</v>
      </c>
      <c r="F9" s="6" t="n">
        <f aca="false">D9*0.001</f>
        <v>1750</v>
      </c>
      <c r="G9" s="6" t="n">
        <v>20000</v>
      </c>
      <c r="H9" s="6" t="n">
        <f aca="false">D9-E9-F9-G9</f>
        <v>1675750</v>
      </c>
      <c r="I9" s="6" t="n">
        <f aca="false">D9*0.01</f>
        <v>17500</v>
      </c>
      <c r="J9" s="6" t="n">
        <f aca="false">D9*0.02</f>
        <v>35000</v>
      </c>
    </row>
    <row r="10" customFormat="false" ht="15" hidden="false" customHeight="false" outlineLevel="0" collapsed="false">
      <c r="A10" s="4" t="n">
        <v>7</v>
      </c>
      <c r="B10" s="4" t="s">
        <v>24</v>
      </c>
      <c r="C10" s="5" t="s">
        <v>25</v>
      </c>
      <c r="D10" s="6" t="n">
        <v>1200000</v>
      </c>
      <c r="E10" s="6" t="n">
        <f aca="false">D10*0.03</f>
        <v>36000</v>
      </c>
      <c r="F10" s="6" t="n">
        <f aca="false">D10*0.001</f>
        <v>1200</v>
      </c>
      <c r="G10" s="6" t="n">
        <v>20000</v>
      </c>
      <c r="H10" s="6" t="n">
        <f aca="false">D10-E10-F10-G10</f>
        <v>1142800</v>
      </c>
      <c r="I10" s="6" t="n">
        <f aca="false">D10*0.01</f>
        <v>12000</v>
      </c>
      <c r="J10" s="6" t="n">
        <f aca="false">D10*0.02</f>
        <v>24000</v>
      </c>
    </row>
    <row r="11" customFormat="false" ht="15" hidden="false" customHeight="false" outlineLevel="0" collapsed="false">
      <c r="A11" s="4" t="n">
        <v>8</v>
      </c>
      <c r="B11" s="4" t="s">
        <v>26</v>
      </c>
      <c r="C11" s="5" t="s">
        <v>27</v>
      </c>
      <c r="D11" s="6" t="n">
        <v>23970339.75</v>
      </c>
      <c r="E11" s="6" t="n">
        <f aca="false">D11*0.03</f>
        <v>719110.1925</v>
      </c>
      <c r="F11" s="6" t="n">
        <f aca="false">D11*0.001</f>
        <v>23970.33975</v>
      </c>
      <c r="G11" s="6" t="n">
        <v>20000</v>
      </c>
      <c r="H11" s="6" t="n">
        <f aca="false">D11-E11-F11-G11</f>
        <v>23207259.21775</v>
      </c>
      <c r="I11" s="6" t="n">
        <f aca="false">D11*0.01</f>
        <v>239703.3975</v>
      </c>
      <c r="J11" s="6" t="n">
        <f aca="false">D11*0.02</f>
        <v>479406.795</v>
      </c>
    </row>
    <row r="12" customFormat="false" ht="15" hidden="false" customHeight="false" outlineLevel="0" collapsed="false">
      <c r="A12" s="4" t="n">
        <v>9</v>
      </c>
      <c r="B12" s="4" t="s">
        <v>28</v>
      </c>
      <c r="C12" s="5" t="s">
        <v>29</v>
      </c>
      <c r="D12" s="6" t="n">
        <v>20009360.96</v>
      </c>
      <c r="E12" s="6" t="n">
        <f aca="false">D12*0.03</f>
        <v>600280.8288</v>
      </c>
      <c r="F12" s="6" t="n">
        <f aca="false">D12*0.001</f>
        <v>20009.36096</v>
      </c>
      <c r="G12" s="6" t="n">
        <v>20000</v>
      </c>
      <c r="H12" s="6" t="n">
        <f aca="false">D12-E12-F12-G12</f>
        <v>19369070.77024</v>
      </c>
      <c r="I12" s="6" t="n">
        <f aca="false">D12*0.01</f>
        <v>200093.6096</v>
      </c>
      <c r="J12" s="6" t="n">
        <f aca="false">D12*0.02</f>
        <v>400187.2192</v>
      </c>
    </row>
    <row r="13" customFormat="false" ht="15" hidden="false" customHeight="false" outlineLevel="0" collapsed="false">
      <c r="A13" s="4" t="n">
        <v>10</v>
      </c>
      <c r="B13" s="4" t="s">
        <v>30</v>
      </c>
      <c r="C13" s="5" t="s">
        <v>31</v>
      </c>
      <c r="D13" s="6" t="n">
        <v>16900349.58</v>
      </c>
      <c r="E13" s="6" t="n">
        <f aca="false">D13*0.03</f>
        <v>507010.4874</v>
      </c>
      <c r="F13" s="6" t="n">
        <f aca="false">D13*0.001</f>
        <v>16900.34958</v>
      </c>
      <c r="G13" s="6" t="n">
        <v>20000</v>
      </c>
      <c r="H13" s="6" t="n">
        <f aca="false">D13-E13-F13-G13</f>
        <v>16356438.74302</v>
      </c>
      <c r="I13" s="6" t="n">
        <f aca="false">D13*0.01</f>
        <v>169003.4958</v>
      </c>
      <c r="J13" s="6" t="n">
        <f aca="false">D13*0.02</f>
        <v>338006.9916</v>
      </c>
    </row>
    <row r="14" customFormat="false" ht="15" hidden="false" customHeight="false" outlineLevel="0" collapsed="false">
      <c r="A14" s="4" t="n">
        <v>11</v>
      </c>
      <c r="B14" s="4" t="s">
        <v>32</v>
      </c>
      <c r="C14" s="5" t="s">
        <v>33</v>
      </c>
      <c r="D14" s="6" t="n">
        <v>15441653.26</v>
      </c>
      <c r="E14" s="6" t="n">
        <f aca="false">D14*0.03</f>
        <v>463249.5978</v>
      </c>
      <c r="F14" s="6" t="n">
        <f aca="false">D14*0.001</f>
        <v>15441.65326</v>
      </c>
      <c r="G14" s="6" t="n">
        <v>20000</v>
      </c>
      <c r="H14" s="6" t="n">
        <f aca="false">D14-E14-F14-G14</f>
        <v>14942962.00894</v>
      </c>
      <c r="I14" s="6" t="n">
        <f aca="false">D14*0.01</f>
        <v>154416.5326</v>
      </c>
      <c r="J14" s="6" t="n">
        <f aca="false">D14*0.02</f>
        <v>308833.0652</v>
      </c>
    </row>
    <row r="15" customFormat="false" ht="15" hidden="false" customHeight="false" outlineLevel="0" collapsed="false">
      <c r="A15" s="4" t="n">
        <v>12</v>
      </c>
      <c r="B15" s="4" t="s">
        <v>34</v>
      </c>
      <c r="C15" s="5" t="s">
        <v>35</v>
      </c>
      <c r="D15" s="6" t="n">
        <v>8929710.43</v>
      </c>
      <c r="E15" s="6" t="n">
        <f aca="false">D15*0.03</f>
        <v>267891.3129</v>
      </c>
      <c r="F15" s="6" t="n">
        <f aca="false">D15*0.001</f>
        <v>8929.71043</v>
      </c>
      <c r="G15" s="6" t="n">
        <v>20000</v>
      </c>
      <c r="H15" s="6" t="n">
        <f aca="false">D15-E15-F15-G15</f>
        <v>8632889.40667</v>
      </c>
      <c r="I15" s="6" t="n">
        <f aca="false">D15*0.01</f>
        <v>89297.1043</v>
      </c>
      <c r="J15" s="6" t="n">
        <f aca="false">D15*0.02</f>
        <v>178594.2086</v>
      </c>
    </row>
    <row r="16" customFormat="false" ht="15" hidden="false" customHeight="false" outlineLevel="0" collapsed="false">
      <c r="A16" s="4" t="n">
        <v>13</v>
      </c>
      <c r="B16" s="4" t="s">
        <v>36</v>
      </c>
      <c r="C16" s="5" t="s">
        <v>37</v>
      </c>
      <c r="D16" s="6" t="n">
        <v>8239372.15</v>
      </c>
      <c r="E16" s="6" t="n">
        <f aca="false">D16*0.03</f>
        <v>247181.1645</v>
      </c>
      <c r="F16" s="6" t="n">
        <f aca="false">D16*0.001</f>
        <v>8239.37215</v>
      </c>
      <c r="G16" s="6" t="n">
        <v>20000</v>
      </c>
      <c r="H16" s="6" t="n">
        <f aca="false">D16-E16-F16-G16</f>
        <v>7963951.61335</v>
      </c>
      <c r="I16" s="6" t="n">
        <f aca="false">D16*0.01</f>
        <v>82393.7215</v>
      </c>
      <c r="J16" s="6" t="n">
        <f aca="false">D16*0.02</f>
        <v>164787.443</v>
      </c>
    </row>
    <row r="17" customFormat="false" ht="15" hidden="false" customHeight="false" outlineLevel="0" collapsed="false">
      <c r="A17" s="4" t="n">
        <v>14</v>
      </c>
      <c r="B17" s="4" t="s">
        <v>38</v>
      </c>
      <c r="C17" s="5" t="s">
        <v>39</v>
      </c>
      <c r="D17" s="6" t="n">
        <v>8060164.61</v>
      </c>
      <c r="E17" s="6" t="n">
        <f aca="false">D17*0.03</f>
        <v>241804.9383</v>
      </c>
      <c r="F17" s="6" t="n">
        <f aca="false">D17*0.001</f>
        <v>8060.16461</v>
      </c>
      <c r="G17" s="6" t="n">
        <v>20000</v>
      </c>
      <c r="H17" s="6" t="n">
        <f aca="false">D17-E17-F17-G17</f>
        <v>7790299.50709</v>
      </c>
      <c r="I17" s="6" t="n">
        <f aca="false">D17*0.01</f>
        <v>80601.6461</v>
      </c>
      <c r="J17" s="6" t="n">
        <f aca="false">D17*0.02</f>
        <v>161203.2922</v>
      </c>
    </row>
    <row r="18" customFormat="false" ht="15" hidden="false" customHeight="false" outlineLevel="0" collapsed="false">
      <c r="A18" s="4" t="n">
        <v>15</v>
      </c>
      <c r="B18" s="4" t="s">
        <v>40</v>
      </c>
      <c r="C18" s="5" t="s">
        <v>41</v>
      </c>
      <c r="D18" s="6" t="n">
        <v>7912699.43</v>
      </c>
      <c r="E18" s="6" t="n">
        <f aca="false">D18*0.03</f>
        <v>237380.9829</v>
      </c>
      <c r="F18" s="6" t="n">
        <f aca="false">D18*0.001</f>
        <v>7912.69943</v>
      </c>
      <c r="G18" s="6" t="n">
        <v>20000</v>
      </c>
      <c r="H18" s="6" t="n">
        <f aca="false">D18-E18-F18-G18</f>
        <v>7647405.74767</v>
      </c>
      <c r="I18" s="6" t="n">
        <f aca="false">D18*0.01</f>
        <v>79126.9943</v>
      </c>
      <c r="J18" s="6" t="n">
        <f aca="false">D18*0.02</f>
        <v>158253.9886</v>
      </c>
    </row>
    <row r="19" customFormat="false" ht="15" hidden="false" customHeight="false" outlineLevel="0" collapsed="false">
      <c r="A19" s="4" t="n">
        <v>16</v>
      </c>
      <c r="B19" s="4" t="s">
        <v>42</v>
      </c>
      <c r="C19" s="5" t="s">
        <v>43</v>
      </c>
      <c r="D19" s="6" t="n">
        <v>6368567.44</v>
      </c>
      <c r="E19" s="6" t="n">
        <f aca="false">D19*0.03</f>
        <v>191057.0232</v>
      </c>
      <c r="F19" s="6" t="n">
        <f aca="false">D19*0.001</f>
        <v>6368.56744</v>
      </c>
      <c r="G19" s="6" t="n">
        <v>20000</v>
      </c>
      <c r="H19" s="6" t="n">
        <f aca="false">D19-E19-F19-G19</f>
        <v>6151141.84936</v>
      </c>
      <c r="I19" s="6" t="n">
        <f aca="false">D19*0.01</f>
        <v>63685.6744</v>
      </c>
      <c r="J19" s="6" t="n">
        <f aca="false">D19*0.02</f>
        <v>127371.3488</v>
      </c>
    </row>
    <row r="20" customFormat="false" ht="15" hidden="false" customHeight="false" outlineLevel="0" collapsed="false">
      <c r="A20" s="4" t="n">
        <v>17</v>
      </c>
      <c r="B20" s="4" t="s">
        <v>44</v>
      </c>
      <c r="C20" s="5" t="s">
        <v>45</v>
      </c>
      <c r="D20" s="6" t="n">
        <v>5349583.58</v>
      </c>
      <c r="E20" s="6" t="n">
        <f aca="false">D20*0.03</f>
        <v>160487.5074</v>
      </c>
      <c r="F20" s="6" t="n">
        <f aca="false">D20*0.001</f>
        <v>5349.58358</v>
      </c>
      <c r="G20" s="6" t="n">
        <v>20000</v>
      </c>
      <c r="H20" s="6" t="n">
        <f aca="false">D20-E20-F20-G20</f>
        <v>5163746.48902</v>
      </c>
      <c r="I20" s="6" t="n">
        <f aca="false">D20*0.01</f>
        <v>53495.8358</v>
      </c>
      <c r="J20" s="6" t="n">
        <f aca="false">D20*0.02</f>
        <v>106991.6716</v>
      </c>
    </row>
    <row r="21" customFormat="false" ht="15" hidden="false" customHeight="false" outlineLevel="0" collapsed="false">
      <c r="A21" s="4" t="n">
        <v>18</v>
      </c>
      <c r="B21" s="4" t="s">
        <v>46</v>
      </c>
      <c r="C21" s="5" t="s">
        <v>47</v>
      </c>
      <c r="D21" s="6" t="n">
        <v>5200000</v>
      </c>
      <c r="E21" s="6" t="n">
        <f aca="false">D21*0.03</f>
        <v>156000</v>
      </c>
      <c r="F21" s="6" t="n">
        <f aca="false">D21*0.001</f>
        <v>5200</v>
      </c>
      <c r="G21" s="6" t="n">
        <v>20000</v>
      </c>
      <c r="H21" s="6" t="n">
        <f aca="false">D21-E21-F21-G21</f>
        <v>5018800</v>
      </c>
      <c r="I21" s="6" t="n">
        <f aca="false">D21*0.01</f>
        <v>52000</v>
      </c>
      <c r="J21" s="6" t="n">
        <f aca="false">D21*0.02</f>
        <v>104000</v>
      </c>
    </row>
    <row r="22" customFormat="false" ht="15" hidden="false" customHeight="false" outlineLevel="0" collapsed="false">
      <c r="A22" s="4" t="n">
        <v>19</v>
      </c>
      <c r="B22" s="4" t="s">
        <v>48</v>
      </c>
      <c r="C22" s="5" t="s">
        <v>49</v>
      </c>
      <c r="D22" s="6" t="n">
        <v>5029053.97</v>
      </c>
      <c r="E22" s="6" t="n">
        <f aca="false">D22*0.03</f>
        <v>150871.6191</v>
      </c>
      <c r="F22" s="6" t="n">
        <f aca="false">D22*0.001</f>
        <v>5029.05397</v>
      </c>
      <c r="G22" s="6" t="n">
        <v>20000</v>
      </c>
      <c r="H22" s="6" t="n">
        <f aca="false">D22-E22-F22-G22</f>
        <v>4853153.29693</v>
      </c>
      <c r="I22" s="6" t="n">
        <f aca="false">D22*0.01</f>
        <v>50290.5397</v>
      </c>
      <c r="J22" s="6" t="n">
        <f aca="false">D22*0.02</f>
        <v>100581.0794</v>
      </c>
    </row>
    <row r="23" customFormat="false" ht="15" hidden="false" customHeight="false" outlineLevel="0" collapsed="false">
      <c r="A23" s="4" t="n">
        <v>20</v>
      </c>
      <c r="B23" s="4" t="s">
        <v>50</v>
      </c>
      <c r="C23" s="5" t="s">
        <v>51</v>
      </c>
      <c r="D23" s="6" t="n">
        <v>4804613.26</v>
      </c>
      <c r="E23" s="6" t="n">
        <f aca="false">D23*0.03</f>
        <v>144138.3978</v>
      </c>
      <c r="F23" s="6" t="n">
        <f aca="false">D23*0.001</f>
        <v>4804.61326</v>
      </c>
      <c r="G23" s="6" t="n">
        <v>20000</v>
      </c>
      <c r="H23" s="6" t="n">
        <f aca="false">D23-E23-F23-G23</f>
        <v>4635670.24894</v>
      </c>
      <c r="I23" s="6" t="n">
        <f aca="false">D23*0.01</f>
        <v>48046.1326</v>
      </c>
      <c r="J23" s="6" t="n">
        <f aca="false">D23*0.02</f>
        <v>96092.2652</v>
      </c>
    </row>
    <row r="24" customFormat="false" ht="15" hidden="false" customHeight="false" outlineLevel="0" collapsed="false">
      <c r="A24" s="4" t="n">
        <v>21</v>
      </c>
      <c r="B24" s="4" t="s">
        <v>52</v>
      </c>
      <c r="C24" s="5" t="s">
        <v>53</v>
      </c>
      <c r="D24" s="6" t="n">
        <v>4539976.42</v>
      </c>
      <c r="E24" s="6" t="n">
        <f aca="false">D24*0.03</f>
        <v>136199.2926</v>
      </c>
      <c r="F24" s="6" t="n">
        <f aca="false">D24*0.001</f>
        <v>4539.97642</v>
      </c>
      <c r="G24" s="6" t="n">
        <v>20000</v>
      </c>
      <c r="H24" s="6" t="n">
        <f aca="false">D24-E24-F24-G24</f>
        <v>4379237.15098</v>
      </c>
      <c r="I24" s="6" t="n">
        <f aca="false">D24*0.01</f>
        <v>45399.7642</v>
      </c>
      <c r="J24" s="6" t="n">
        <f aca="false">D24*0.02</f>
        <v>90799.5284</v>
      </c>
    </row>
    <row r="25" customFormat="false" ht="15" hidden="false" customHeight="false" outlineLevel="0" collapsed="false">
      <c r="A25" s="4" t="n">
        <v>22</v>
      </c>
      <c r="B25" s="4" t="s">
        <v>54</v>
      </c>
      <c r="C25" s="5" t="s">
        <v>55</v>
      </c>
      <c r="D25" s="6" t="n">
        <v>4444802.01</v>
      </c>
      <c r="E25" s="6" t="n">
        <f aca="false">D25*0.03</f>
        <v>133344.0603</v>
      </c>
      <c r="F25" s="6" t="n">
        <f aca="false">D25*0.001</f>
        <v>4444.80201</v>
      </c>
      <c r="G25" s="6" t="n">
        <v>20000</v>
      </c>
      <c r="H25" s="6" t="n">
        <f aca="false">D25-E25-F25-G25</f>
        <v>4287013.14769</v>
      </c>
      <c r="I25" s="6" t="n">
        <f aca="false">D25*0.01</f>
        <v>44448.0201</v>
      </c>
      <c r="J25" s="6" t="n">
        <f aca="false">D25*0.02</f>
        <v>88896.0402</v>
      </c>
    </row>
    <row r="26" customFormat="false" ht="15" hidden="false" customHeight="false" outlineLevel="0" collapsed="false">
      <c r="A26" s="4" t="n">
        <v>23</v>
      </c>
      <c r="B26" s="4" t="s">
        <v>56</v>
      </c>
      <c r="C26" s="5" t="s">
        <v>57</v>
      </c>
      <c r="D26" s="6" t="n">
        <v>4273208.44</v>
      </c>
      <c r="E26" s="6" t="n">
        <f aca="false">D26*0.03</f>
        <v>128196.2532</v>
      </c>
      <c r="F26" s="6" t="n">
        <f aca="false">D26*0.001</f>
        <v>4273.20844</v>
      </c>
      <c r="G26" s="6" t="n">
        <v>20000</v>
      </c>
      <c r="H26" s="6" t="n">
        <f aca="false">D26-E26-F26-G26</f>
        <v>4120738.97836</v>
      </c>
      <c r="I26" s="6" t="n">
        <f aca="false">D26*0.01</f>
        <v>42732.0844</v>
      </c>
      <c r="J26" s="6" t="n">
        <f aca="false">D26*0.02</f>
        <v>85464.1688</v>
      </c>
    </row>
    <row r="27" customFormat="false" ht="15" hidden="false" customHeight="false" outlineLevel="0" collapsed="false">
      <c r="A27" s="4" t="n">
        <v>24</v>
      </c>
      <c r="B27" s="4" t="s">
        <v>58</v>
      </c>
      <c r="C27" s="5" t="s">
        <v>59</v>
      </c>
      <c r="D27" s="6" t="n">
        <v>4259115.05</v>
      </c>
      <c r="E27" s="6" t="n">
        <f aca="false">D27*0.03</f>
        <v>127773.4515</v>
      </c>
      <c r="F27" s="6" t="n">
        <f aca="false">D27*0.001</f>
        <v>4259.11505</v>
      </c>
      <c r="G27" s="6" t="n">
        <v>20000</v>
      </c>
      <c r="H27" s="6" t="n">
        <f aca="false">D27-E27-F27-G27</f>
        <v>4107082.48345</v>
      </c>
      <c r="I27" s="6" t="n">
        <f aca="false">D27*0.01</f>
        <v>42591.1505</v>
      </c>
      <c r="J27" s="6" t="n">
        <f aca="false">D27*0.02</f>
        <v>85182.301</v>
      </c>
    </row>
    <row r="28" customFormat="false" ht="15" hidden="false" customHeight="false" outlineLevel="0" collapsed="false">
      <c r="A28" s="4" t="n">
        <v>25</v>
      </c>
      <c r="B28" s="4" t="s">
        <v>60</v>
      </c>
      <c r="C28" s="5" t="s">
        <v>61</v>
      </c>
      <c r="D28" s="6" t="n">
        <v>4177860.14</v>
      </c>
      <c r="E28" s="6" t="n">
        <f aca="false">D28*0.03</f>
        <v>125335.8042</v>
      </c>
      <c r="F28" s="6" t="n">
        <f aca="false">D28*0.001</f>
        <v>4177.86014</v>
      </c>
      <c r="G28" s="6" t="n">
        <v>20000</v>
      </c>
      <c r="H28" s="6" t="n">
        <f aca="false">D28-E28-F28-G28</f>
        <v>4028346.47566</v>
      </c>
      <c r="I28" s="6" t="n">
        <f aca="false">D28*0.01</f>
        <v>41778.6014</v>
      </c>
      <c r="J28" s="6" t="n">
        <f aca="false">D28*0.02</f>
        <v>83557.2028</v>
      </c>
    </row>
    <row r="29" customFormat="false" ht="15" hidden="false" customHeight="false" outlineLevel="0" collapsed="false">
      <c r="A29" s="4" t="n">
        <v>26</v>
      </c>
      <c r="B29" s="4" t="s">
        <v>62</v>
      </c>
      <c r="C29" s="5" t="s">
        <v>63</v>
      </c>
      <c r="D29" s="6" t="n">
        <v>3850000</v>
      </c>
      <c r="E29" s="6" t="n">
        <f aca="false">D29*0.03</f>
        <v>115500</v>
      </c>
      <c r="F29" s="6" t="n">
        <f aca="false">D29*0.001</f>
        <v>3850</v>
      </c>
      <c r="G29" s="6" t="n">
        <v>20000</v>
      </c>
      <c r="H29" s="6" t="n">
        <f aca="false">D29-E29-F29-G29</f>
        <v>3710650</v>
      </c>
      <c r="I29" s="6" t="n">
        <f aca="false">D29*0.01</f>
        <v>38500</v>
      </c>
      <c r="J29" s="6" t="n">
        <f aca="false">D29*0.02</f>
        <v>77000</v>
      </c>
    </row>
    <row r="30" customFormat="false" ht="15" hidden="false" customHeight="false" outlineLevel="0" collapsed="false">
      <c r="A30" s="4" t="n">
        <v>27</v>
      </c>
      <c r="B30" s="4" t="s">
        <v>64</v>
      </c>
      <c r="C30" s="5" t="s">
        <v>65</v>
      </c>
      <c r="D30" s="6" t="n">
        <v>3816930.09</v>
      </c>
      <c r="E30" s="6" t="n">
        <f aca="false">D30*0.03</f>
        <v>114507.9027</v>
      </c>
      <c r="F30" s="6" t="n">
        <f aca="false">D30*0.001</f>
        <v>3816.93009</v>
      </c>
      <c r="G30" s="6" t="n">
        <v>20000</v>
      </c>
      <c r="H30" s="6" t="n">
        <f aca="false">D30-E30-F30-G30</f>
        <v>3678605.25721</v>
      </c>
      <c r="I30" s="6" t="n">
        <f aca="false">D30*0.01</f>
        <v>38169.3009</v>
      </c>
      <c r="J30" s="6" t="n">
        <f aca="false">D30*0.02</f>
        <v>76338.6018</v>
      </c>
    </row>
    <row r="31" customFormat="false" ht="15" hidden="false" customHeight="false" outlineLevel="0" collapsed="false">
      <c r="A31" s="4" t="n">
        <v>28</v>
      </c>
      <c r="B31" s="4" t="s">
        <v>66</v>
      </c>
      <c r="C31" s="5" t="s">
        <v>67</v>
      </c>
      <c r="D31" s="6" t="n">
        <v>3632308.35</v>
      </c>
      <c r="E31" s="6" t="n">
        <f aca="false">D31*0.03</f>
        <v>108969.2505</v>
      </c>
      <c r="F31" s="6" t="n">
        <f aca="false">D31*0.001</f>
        <v>3632.30835</v>
      </c>
      <c r="G31" s="6" t="n">
        <v>20000</v>
      </c>
      <c r="H31" s="6" t="n">
        <f aca="false">D31-E31-F31-G31</f>
        <v>3499706.79115</v>
      </c>
      <c r="I31" s="6" t="n">
        <f aca="false">D31*0.01</f>
        <v>36323.0835</v>
      </c>
      <c r="J31" s="6" t="n">
        <f aca="false">D31*0.02</f>
        <v>72646.167</v>
      </c>
    </row>
    <row r="32" customFormat="false" ht="15" hidden="false" customHeight="false" outlineLevel="0" collapsed="false">
      <c r="A32" s="4" t="n">
        <v>29</v>
      </c>
      <c r="B32" s="4" t="s">
        <v>68</v>
      </c>
      <c r="C32" s="5" t="s">
        <v>69</v>
      </c>
      <c r="D32" s="6" t="n">
        <v>3559429.53</v>
      </c>
      <c r="E32" s="6" t="n">
        <f aca="false">D32*0.03</f>
        <v>106782.8859</v>
      </c>
      <c r="F32" s="6" t="n">
        <f aca="false">D32*0.001</f>
        <v>3559.42953</v>
      </c>
      <c r="G32" s="6" t="n">
        <v>20000</v>
      </c>
      <c r="H32" s="6" t="n">
        <f aca="false">D32-E32-F32-G32</f>
        <v>3429087.21457</v>
      </c>
      <c r="I32" s="6" t="n">
        <f aca="false">D32*0.01</f>
        <v>35594.2953</v>
      </c>
      <c r="J32" s="6" t="n">
        <f aca="false">D32*0.02</f>
        <v>71188.5906</v>
      </c>
    </row>
    <row r="33" customFormat="false" ht="15" hidden="false" customHeight="false" outlineLevel="0" collapsed="false">
      <c r="A33" s="4" t="n">
        <v>30</v>
      </c>
      <c r="B33" s="4" t="s">
        <v>70</v>
      </c>
      <c r="C33" s="5" t="s">
        <v>71</v>
      </c>
      <c r="D33" s="6" t="n">
        <v>3543249.36</v>
      </c>
      <c r="E33" s="6" t="n">
        <f aca="false">D33*0.03</f>
        <v>106297.4808</v>
      </c>
      <c r="F33" s="6" t="n">
        <f aca="false">D33*0.001</f>
        <v>3543.24936</v>
      </c>
      <c r="G33" s="6" t="n">
        <v>20000</v>
      </c>
      <c r="H33" s="6" t="n">
        <f aca="false">D33-E33-F33-G33</f>
        <v>3413408.62984</v>
      </c>
      <c r="I33" s="6" t="n">
        <f aca="false">D33*0.01</f>
        <v>35432.4936</v>
      </c>
      <c r="J33" s="6" t="n">
        <f aca="false">D33*0.02</f>
        <v>70864.9872</v>
      </c>
    </row>
    <row r="34" customFormat="false" ht="15" hidden="false" customHeight="false" outlineLevel="0" collapsed="false">
      <c r="A34" s="4" t="n">
        <v>31</v>
      </c>
      <c r="B34" s="4" t="s">
        <v>72</v>
      </c>
      <c r="C34" s="5" t="s">
        <v>73</v>
      </c>
      <c r="D34" s="6" t="n">
        <v>3488687.83</v>
      </c>
      <c r="E34" s="6" t="n">
        <f aca="false">D34*0.03</f>
        <v>104660.6349</v>
      </c>
      <c r="F34" s="6" t="n">
        <f aca="false">D34*0.001</f>
        <v>3488.68783</v>
      </c>
      <c r="G34" s="6" t="n">
        <v>20000</v>
      </c>
      <c r="H34" s="6" t="n">
        <f aca="false">D34-E34-F34-G34</f>
        <v>3360538.50727</v>
      </c>
      <c r="I34" s="6" t="n">
        <f aca="false">D34*0.01</f>
        <v>34886.8783</v>
      </c>
      <c r="J34" s="6" t="n">
        <f aca="false">D34*0.02</f>
        <v>69773.7566</v>
      </c>
    </row>
    <row r="35" customFormat="false" ht="15" hidden="false" customHeight="false" outlineLevel="0" collapsed="false">
      <c r="A35" s="4" t="n">
        <v>32</v>
      </c>
      <c r="B35" s="4" t="s">
        <v>74</v>
      </c>
      <c r="C35" s="5" t="s">
        <v>75</v>
      </c>
      <c r="D35" s="6" t="n">
        <v>3385713.3</v>
      </c>
      <c r="E35" s="6" t="n">
        <f aca="false">D35*0.03</f>
        <v>101571.399</v>
      </c>
      <c r="F35" s="6" t="n">
        <f aca="false">D35*0.001</f>
        <v>3385.7133</v>
      </c>
      <c r="G35" s="6" t="n">
        <v>20000</v>
      </c>
      <c r="H35" s="6" t="n">
        <f aca="false">D35-E35-F35-G35</f>
        <v>3260756.1877</v>
      </c>
      <c r="I35" s="6" t="n">
        <f aca="false">D35*0.01</f>
        <v>33857.133</v>
      </c>
      <c r="J35" s="6" t="n">
        <f aca="false">D35*0.02</f>
        <v>67714.266</v>
      </c>
    </row>
    <row r="36" customFormat="false" ht="15" hidden="false" customHeight="false" outlineLevel="0" collapsed="false">
      <c r="A36" s="4" t="n">
        <v>33</v>
      </c>
      <c r="B36" s="4" t="s">
        <v>76</v>
      </c>
      <c r="C36" s="5" t="s">
        <v>77</v>
      </c>
      <c r="D36" s="6" t="n">
        <v>3352827.18</v>
      </c>
      <c r="E36" s="6" t="n">
        <f aca="false">D36*0.03</f>
        <v>100584.8154</v>
      </c>
      <c r="F36" s="6" t="n">
        <f aca="false">D36*0.001</f>
        <v>3352.82718</v>
      </c>
      <c r="G36" s="6" t="n">
        <v>20000</v>
      </c>
      <c r="H36" s="6" t="n">
        <f aca="false">D36-E36-F36-G36</f>
        <v>3228889.53742</v>
      </c>
      <c r="I36" s="6" t="n">
        <f aca="false">D36*0.01</f>
        <v>33528.2718</v>
      </c>
      <c r="J36" s="6" t="n">
        <f aca="false">D36*0.02</f>
        <v>67056.5436</v>
      </c>
    </row>
    <row r="37" customFormat="false" ht="15" hidden="false" customHeight="false" outlineLevel="0" collapsed="false">
      <c r="A37" s="4" t="n">
        <v>34</v>
      </c>
      <c r="B37" s="4" t="s">
        <v>78</v>
      </c>
      <c r="C37" s="5" t="s">
        <v>79</v>
      </c>
      <c r="D37" s="6" t="n">
        <v>3290997.07</v>
      </c>
      <c r="E37" s="6" t="n">
        <f aca="false">D37*0.03</f>
        <v>98729.9121</v>
      </c>
      <c r="F37" s="6" t="n">
        <f aca="false">D37*0.001</f>
        <v>3290.99707</v>
      </c>
      <c r="G37" s="6" t="n">
        <v>20000</v>
      </c>
      <c r="H37" s="6" t="n">
        <f aca="false">D37-E37-F37-G37</f>
        <v>3168976.16083</v>
      </c>
      <c r="I37" s="6" t="n">
        <f aca="false">D37*0.01</f>
        <v>32909.9707</v>
      </c>
      <c r="J37" s="6" t="n">
        <f aca="false">D37*0.02</f>
        <v>65819.9414</v>
      </c>
    </row>
    <row r="38" customFormat="false" ht="15" hidden="false" customHeight="false" outlineLevel="0" collapsed="false">
      <c r="A38" s="4" t="n">
        <v>35</v>
      </c>
      <c r="B38" s="4" t="s">
        <v>80</v>
      </c>
      <c r="C38" s="5" t="s">
        <v>81</v>
      </c>
      <c r="D38" s="6" t="n">
        <v>3144000</v>
      </c>
      <c r="E38" s="6" t="n">
        <f aca="false">D38*0.03</f>
        <v>94320</v>
      </c>
      <c r="F38" s="6" t="n">
        <f aca="false">D38*0.001</f>
        <v>3144</v>
      </c>
      <c r="G38" s="6" t="n">
        <v>20000</v>
      </c>
      <c r="H38" s="6" t="n">
        <f aca="false">D38-E38-F38-G38</f>
        <v>3026536</v>
      </c>
      <c r="I38" s="6" t="n">
        <f aca="false">D38*0.01</f>
        <v>31440</v>
      </c>
      <c r="J38" s="6" t="n">
        <f aca="false">D38*0.02</f>
        <v>62880</v>
      </c>
    </row>
    <row r="39" customFormat="false" ht="15" hidden="false" customHeight="false" outlineLevel="0" collapsed="false">
      <c r="A39" s="4" t="n">
        <v>36</v>
      </c>
      <c r="B39" s="4" t="s">
        <v>82</v>
      </c>
      <c r="C39" s="5" t="s">
        <v>83</v>
      </c>
      <c r="D39" s="6" t="n">
        <v>3094274.53</v>
      </c>
      <c r="E39" s="6" t="n">
        <f aca="false">D39*0.03</f>
        <v>92828.2359</v>
      </c>
      <c r="F39" s="6" t="n">
        <f aca="false">D39*0.001</f>
        <v>3094.27453</v>
      </c>
      <c r="G39" s="6" t="n">
        <v>20000</v>
      </c>
      <c r="H39" s="6" t="n">
        <f aca="false">D39-E39-F39-G39</f>
        <v>2978352.01957</v>
      </c>
      <c r="I39" s="6" t="n">
        <f aca="false">D39*0.01</f>
        <v>30942.7453</v>
      </c>
      <c r="J39" s="6" t="n">
        <f aca="false">D39*0.02</f>
        <v>61885.4906</v>
      </c>
    </row>
    <row r="40" customFormat="false" ht="15" hidden="false" customHeight="false" outlineLevel="0" collapsed="false">
      <c r="A40" s="4" t="n">
        <v>37</v>
      </c>
      <c r="B40" s="4" t="s">
        <v>84</v>
      </c>
      <c r="C40" s="5" t="s">
        <v>85</v>
      </c>
      <c r="D40" s="6" t="n">
        <v>3084714.39</v>
      </c>
      <c r="E40" s="6" t="n">
        <f aca="false">D40*0.03</f>
        <v>92541.4317</v>
      </c>
      <c r="F40" s="6" t="n">
        <f aca="false">D40*0.001</f>
        <v>3084.71439</v>
      </c>
      <c r="G40" s="6" t="n">
        <v>20000</v>
      </c>
      <c r="H40" s="6" t="n">
        <f aca="false">D40-E40-F40-G40</f>
        <v>2969088.24391</v>
      </c>
      <c r="I40" s="6" t="n">
        <f aca="false">D40*0.01</f>
        <v>30847.1439</v>
      </c>
      <c r="J40" s="6" t="n">
        <f aca="false">D40*0.02</f>
        <v>61694.2878</v>
      </c>
    </row>
    <row r="41" customFormat="false" ht="15" hidden="false" customHeight="false" outlineLevel="0" collapsed="false">
      <c r="A41" s="4" t="n">
        <v>38</v>
      </c>
      <c r="B41" s="4" t="s">
        <v>86</v>
      </c>
      <c r="C41" s="5" t="s">
        <v>87</v>
      </c>
      <c r="D41" s="6" t="n">
        <v>3016507.04</v>
      </c>
      <c r="E41" s="6" t="n">
        <f aca="false">D41*0.03</f>
        <v>90495.2112</v>
      </c>
      <c r="F41" s="6" t="n">
        <f aca="false">D41*0.001</f>
        <v>3016.50704</v>
      </c>
      <c r="G41" s="6" t="n">
        <v>20000</v>
      </c>
      <c r="H41" s="6" t="n">
        <f aca="false">D41-E41-F41-G41</f>
        <v>2902995.32176</v>
      </c>
      <c r="I41" s="6" t="n">
        <f aca="false">D41*0.01</f>
        <v>30165.0704</v>
      </c>
      <c r="J41" s="6" t="n">
        <f aca="false">D41*0.02</f>
        <v>60330.1408</v>
      </c>
    </row>
    <row r="42" customFormat="false" ht="15" hidden="false" customHeight="false" outlineLevel="0" collapsed="false">
      <c r="A42" s="4" t="n">
        <v>39</v>
      </c>
      <c r="B42" s="4" t="s">
        <v>88</v>
      </c>
      <c r="C42" s="5" t="s">
        <v>89</v>
      </c>
      <c r="D42" s="6" t="n">
        <v>2972642.2</v>
      </c>
      <c r="E42" s="6" t="n">
        <f aca="false">D42*0.03</f>
        <v>89179.266</v>
      </c>
      <c r="F42" s="6" t="n">
        <f aca="false">D42*0.001</f>
        <v>2972.6422</v>
      </c>
      <c r="G42" s="6" t="n">
        <v>20000</v>
      </c>
      <c r="H42" s="6" t="n">
        <f aca="false">D42-E42-F42-G42</f>
        <v>2860490.2918</v>
      </c>
      <c r="I42" s="6" t="n">
        <f aca="false">D42*0.01</f>
        <v>29726.422</v>
      </c>
      <c r="J42" s="6" t="n">
        <f aca="false">D42*0.02</f>
        <v>59452.844</v>
      </c>
    </row>
    <row r="43" customFormat="false" ht="15" hidden="false" customHeight="false" outlineLevel="0" collapsed="false">
      <c r="A43" s="4" t="n">
        <v>40</v>
      </c>
      <c r="B43" s="4" t="s">
        <v>90</v>
      </c>
      <c r="C43" s="5" t="s">
        <v>91</v>
      </c>
      <c r="D43" s="6" t="n">
        <v>2879833.72</v>
      </c>
      <c r="E43" s="6" t="n">
        <f aca="false">D43*0.03</f>
        <v>86395.0116</v>
      </c>
      <c r="F43" s="6" t="n">
        <f aca="false">D43*0.001</f>
        <v>2879.83372</v>
      </c>
      <c r="G43" s="6" t="n">
        <v>20000</v>
      </c>
      <c r="H43" s="6" t="n">
        <f aca="false">D43-E43-F43-G43</f>
        <v>2770558.87468</v>
      </c>
      <c r="I43" s="6" t="n">
        <f aca="false">D43*0.01</f>
        <v>28798.3372</v>
      </c>
      <c r="J43" s="6" t="n">
        <f aca="false">D43*0.02</f>
        <v>57596.6744</v>
      </c>
    </row>
    <row r="44" customFormat="false" ht="15" hidden="false" customHeight="false" outlineLevel="0" collapsed="false">
      <c r="A44" s="4" t="n">
        <v>41</v>
      </c>
      <c r="B44" s="4" t="s">
        <v>92</v>
      </c>
      <c r="C44" s="5" t="s">
        <v>93</v>
      </c>
      <c r="D44" s="6" t="n">
        <v>2809577.34</v>
      </c>
      <c r="E44" s="6" t="n">
        <f aca="false">D44*0.03</f>
        <v>84287.3202</v>
      </c>
      <c r="F44" s="6" t="n">
        <f aca="false">D44*0.001</f>
        <v>2809.57734</v>
      </c>
      <c r="G44" s="6" t="n">
        <v>20000</v>
      </c>
      <c r="H44" s="6" t="n">
        <f aca="false">D44-E44-F44-G44</f>
        <v>2702480.44246</v>
      </c>
      <c r="I44" s="6" t="n">
        <f aca="false">D44*0.01</f>
        <v>28095.7734</v>
      </c>
      <c r="J44" s="6" t="n">
        <f aca="false">D44*0.02</f>
        <v>56191.5468</v>
      </c>
    </row>
    <row r="45" customFormat="false" ht="15" hidden="false" customHeight="false" outlineLevel="0" collapsed="false">
      <c r="A45" s="4" t="n">
        <v>42</v>
      </c>
      <c r="B45" s="4" t="s">
        <v>94</v>
      </c>
      <c r="C45" s="5" t="s">
        <v>95</v>
      </c>
      <c r="D45" s="6" t="n">
        <v>2800001.85</v>
      </c>
      <c r="E45" s="6" t="n">
        <f aca="false">D45*0.03</f>
        <v>84000.0555</v>
      </c>
      <c r="F45" s="6" t="n">
        <f aca="false">D45*0.001</f>
        <v>2800.00185</v>
      </c>
      <c r="G45" s="6" t="n">
        <v>20000</v>
      </c>
      <c r="H45" s="6" t="n">
        <f aca="false">D45-E45-F45-G45</f>
        <v>2693201.79265</v>
      </c>
      <c r="I45" s="6" t="n">
        <f aca="false">D45*0.01</f>
        <v>28000.0185</v>
      </c>
      <c r="J45" s="6" t="n">
        <f aca="false">D45*0.02</f>
        <v>56000.037</v>
      </c>
    </row>
    <row r="46" customFormat="false" ht="15" hidden="false" customHeight="false" outlineLevel="0" collapsed="false">
      <c r="A46" s="4" t="n">
        <v>43</v>
      </c>
      <c r="B46" s="4" t="s">
        <v>96</v>
      </c>
      <c r="C46" s="5" t="s">
        <v>97</v>
      </c>
      <c r="D46" s="6" t="n">
        <v>2757214.49</v>
      </c>
      <c r="E46" s="6" t="n">
        <f aca="false">D46*0.03</f>
        <v>82716.4347</v>
      </c>
      <c r="F46" s="6" t="n">
        <f aca="false">D46*0.001</f>
        <v>2757.21449</v>
      </c>
      <c r="G46" s="6" t="n">
        <v>20000</v>
      </c>
      <c r="H46" s="6" t="n">
        <f aca="false">D46-E46-F46-G46</f>
        <v>2651740.84081</v>
      </c>
      <c r="I46" s="6" t="n">
        <f aca="false">D46*0.01</f>
        <v>27572.1449</v>
      </c>
      <c r="J46" s="6" t="n">
        <f aca="false">D46*0.02</f>
        <v>55144.2898</v>
      </c>
    </row>
    <row r="47" customFormat="false" ht="15" hidden="false" customHeight="false" outlineLevel="0" collapsed="false">
      <c r="A47" s="4" t="n">
        <v>44</v>
      </c>
      <c r="B47" s="4" t="s">
        <v>98</v>
      </c>
      <c r="C47" s="5" t="s">
        <v>99</v>
      </c>
      <c r="D47" s="6" t="n">
        <v>2729592.21</v>
      </c>
      <c r="E47" s="6" t="n">
        <f aca="false">D47*0.03</f>
        <v>81887.7663</v>
      </c>
      <c r="F47" s="6" t="n">
        <f aca="false">D47*0.001</f>
        <v>2729.59221</v>
      </c>
      <c r="G47" s="6" t="n">
        <v>20000</v>
      </c>
      <c r="H47" s="6" t="n">
        <f aca="false">D47-E47-F47-G47</f>
        <v>2624974.85149</v>
      </c>
      <c r="I47" s="6" t="n">
        <f aca="false">D47*0.01</f>
        <v>27295.9221</v>
      </c>
      <c r="J47" s="6" t="n">
        <f aca="false">D47*0.02</f>
        <v>54591.8442</v>
      </c>
    </row>
    <row r="48" customFormat="false" ht="15" hidden="false" customHeight="false" outlineLevel="0" collapsed="false">
      <c r="A48" s="4" t="n">
        <v>45</v>
      </c>
      <c r="B48" s="4" t="s">
        <v>100</v>
      </c>
      <c r="C48" s="5" t="s">
        <v>101</v>
      </c>
      <c r="D48" s="6" t="n">
        <v>2660642.55</v>
      </c>
      <c r="E48" s="6" t="n">
        <f aca="false">D48*0.03</f>
        <v>79819.2765</v>
      </c>
      <c r="F48" s="6" t="n">
        <f aca="false">D48*0.001</f>
        <v>2660.64255</v>
      </c>
      <c r="G48" s="6" t="n">
        <v>20000</v>
      </c>
      <c r="H48" s="6" t="n">
        <f aca="false">D48-E48-F48-G48</f>
        <v>2558162.63095</v>
      </c>
      <c r="I48" s="6" t="n">
        <f aca="false">D48*0.01</f>
        <v>26606.4255</v>
      </c>
      <c r="J48" s="6" t="n">
        <f aca="false">D48*0.02</f>
        <v>53212.851</v>
      </c>
    </row>
    <row r="49" customFormat="false" ht="15" hidden="false" customHeight="false" outlineLevel="0" collapsed="false">
      <c r="A49" s="4" t="n">
        <v>46</v>
      </c>
      <c r="B49" s="4" t="s">
        <v>102</v>
      </c>
      <c r="C49" s="5" t="s">
        <v>103</v>
      </c>
      <c r="D49" s="6" t="n">
        <v>2500577.14</v>
      </c>
      <c r="E49" s="6" t="n">
        <f aca="false">D49*0.03</f>
        <v>75017.3142</v>
      </c>
      <c r="F49" s="6" t="n">
        <f aca="false">D49*0.001</f>
        <v>2500.57714</v>
      </c>
      <c r="G49" s="6" t="n">
        <v>20000</v>
      </c>
      <c r="H49" s="6" t="n">
        <f aca="false">D49-E49-F49-G49</f>
        <v>2403059.24866</v>
      </c>
      <c r="I49" s="6" t="n">
        <f aca="false">D49*0.01</f>
        <v>25005.7714</v>
      </c>
      <c r="J49" s="6" t="n">
        <f aca="false">D49*0.02</f>
        <v>50011.5428</v>
      </c>
    </row>
    <row r="50" customFormat="false" ht="15" hidden="false" customHeight="false" outlineLevel="0" collapsed="false">
      <c r="A50" s="4" t="n">
        <v>47</v>
      </c>
      <c r="B50" s="4" t="s">
        <v>104</v>
      </c>
      <c r="C50" s="5" t="s">
        <v>105</v>
      </c>
      <c r="D50" s="6" t="n">
        <v>2434787</v>
      </c>
      <c r="E50" s="6" t="n">
        <f aca="false">D50*0.03</f>
        <v>73043.61</v>
      </c>
      <c r="F50" s="6" t="n">
        <f aca="false">D50*0.001</f>
        <v>2434.787</v>
      </c>
      <c r="G50" s="6" t="n">
        <v>20000</v>
      </c>
      <c r="H50" s="6" t="n">
        <f aca="false">D50-E50-F50-G50</f>
        <v>2339308.603</v>
      </c>
      <c r="I50" s="6" t="n">
        <f aca="false">D50*0.01</f>
        <v>24347.87</v>
      </c>
      <c r="J50" s="6" t="n">
        <f aca="false">D50*0.02</f>
        <v>48695.74</v>
      </c>
    </row>
    <row r="51" customFormat="false" ht="15" hidden="false" customHeight="false" outlineLevel="0" collapsed="false">
      <c r="A51" s="4" t="n">
        <v>48</v>
      </c>
      <c r="B51" s="4" t="s">
        <v>106</v>
      </c>
      <c r="C51" s="5" t="s">
        <v>107</v>
      </c>
      <c r="D51" s="6" t="n">
        <v>2399135.34</v>
      </c>
      <c r="E51" s="6" t="n">
        <f aca="false">D51*0.03</f>
        <v>71974.0602</v>
      </c>
      <c r="F51" s="6" t="n">
        <f aca="false">D51*0.001</f>
        <v>2399.13534</v>
      </c>
      <c r="G51" s="6" t="n">
        <v>20000</v>
      </c>
      <c r="H51" s="6" t="n">
        <f aca="false">D51-E51-F51-G51</f>
        <v>2304762.14446</v>
      </c>
      <c r="I51" s="6" t="n">
        <f aca="false">D51*0.01</f>
        <v>23991.3534</v>
      </c>
      <c r="J51" s="6" t="n">
        <f aca="false">D51*0.02</f>
        <v>47982.7068</v>
      </c>
    </row>
    <row r="52" customFormat="false" ht="15" hidden="false" customHeight="false" outlineLevel="0" collapsed="false">
      <c r="A52" s="4" t="n">
        <v>49</v>
      </c>
      <c r="B52" s="4" t="s">
        <v>108</v>
      </c>
      <c r="C52" s="5" t="s">
        <v>109</v>
      </c>
      <c r="D52" s="6" t="n">
        <v>2397246.01</v>
      </c>
      <c r="E52" s="6" t="n">
        <f aca="false">D52*0.03</f>
        <v>71917.3803</v>
      </c>
      <c r="F52" s="6" t="n">
        <f aca="false">D52*0.001</f>
        <v>2397.24601</v>
      </c>
      <c r="G52" s="6" t="n">
        <v>20000</v>
      </c>
      <c r="H52" s="6" t="n">
        <f aca="false">D52-E52-F52-G52</f>
        <v>2302931.38369</v>
      </c>
      <c r="I52" s="6" t="n">
        <f aca="false">D52*0.01</f>
        <v>23972.4601</v>
      </c>
      <c r="J52" s="6" t="n">
        <f aca="false">D52*0.02</f>
        <v>47944.9202</v>
      </c>
    </row>
    <row r="53" customFormat="false" ht="15" hidden="false" customHeight="false" outlineLevel="0" collapsed="false">
      <c r="A53" s="4" t="n">
        <v>50</v>
      </c>
      <c r="B53" s="4" t="s">
        <v>110</v>
      </c>
      <c r="C53" s="5" t="s">
        <v>111</v>
      </c>
      <c r="D53" s="6" t="n">
        <v>2235988.37</v>
      </c>
      <c r="E53" s="6" t="n">
        <f aca="false">D53*0.03</f>
        <v>67079.6511</v>
      </c>
      <c r="F53" s="6" t="n">
        <f aca="false">D53*0.001</f>
        <v>2235.98837</v>
      </c>
      <c r="G53" s="6" t="n">
        <v>20000</v>
      </c>
      <c r="H53" s="6" t="n">
        <f aca="false">D53-E53-F53-G53</f>
        <v>2146672.73053</v>
      </c>
      <c r="I53" s="6" t="n">
        <f aca="false">D53*0.01</f>
        <v>22359.8837</v>
      </c>
      <c r="J53" s="6" t="n">
        <f aca="false">D53*0.02</f>
        <v>44719.7674</v>
      </c>
    </row>
    <row r="54" customFormat="false" ht="15" hidden="false" customHeight="false" outlineLevel="0" collapsed="false">
      <c r="A54" s="4" t="n">
        <v>51</v>
      </c>
      <c r="B54" s="4" t="s">
        <v>112</v>
      </c>
      <c r="C54" s="5" t="s">
        <v>113</v>
      </c>
      <c r="D54" s="6" t="n">
        <v>2232277.04</v>
      </c>
      <c r="E54" s="6" t="n">
        <f aca="false">D54*0.03</f>
        <v>66968.3112</v>
      </c>
      <c r="F54" s="6" t="n">
        <f aca="false">D54*0.001</f>
        <v>2232.27704</v>
      </c>
      <c r="G54" s="6" t="n">
        <v>20000</v>
      </c>
      <c r="H54" s="6" t="n">
        <f aca="false">D54-E54-F54-G54</f>
        <v>2143076.45176</v>
      </c>
      <c r="I54" s="6" t="n">
        <f aca="false">D54*0.01</f>
        <v>22322.7704</v>
      </c>
      <c r="J54" s="6" t="n">
        <f aca="false">D54*0.02</f>
        <v>44645.5408</v>
      </c>
    </row>
    <row r="55" customFormat="false" ht="15" hidden="false" customHeight="false" outlineLevel="0" collapsed="false">
      <c r="A55" s="4" t="n">
        <v>52</v>
      </c>
      <c r="B55" s="4" t="s">
        <v>114</v>
      </c>
      <c r="C55" s="5" t="s">
        <v>115</v>
      </c>
      <c r="D55" s="6" t="n">
        <v>2218842.19</v>
      </c>
      <c r="E55" s="6" t="n">
        <f aca="false">D55*0.03</f>
        <v>66565.2657</v>
      </c>
      <c r="F55" s="6" t="n">
        <f aca="false">D55*0.001</f>
        <v>2218.84219</v>
      </c>
      <c r="G55" s="6" t="n">
        <v>20000</v>
      </c>
      <c r="H55" s="6" t="n">
        <f aca="false">D55-E55-F55-G55</f>
        <v>2130058.08211</v>
      </c>
      <c r="I55" s="6" t="n">
        <f aca="false">D55*0.01</f>
        <v>22188.4219</v>
      </c>
      <c r="J55" s="6" t="n">
        <f aca="false">D55*0.02</f>
        <v>44376.8438</v>
      </c>
    </row>
    <row r="56" customFormat="false" ht="15" hidden="false" customHeight="false" outlineLevel="0" collapsed="false">
      <c r="A56" s="4" t="n">
        <v>53</v>
      </c>
      <c r="B56" s="4" t="s">
        <v>116</v>
      </c>
      <c r="C56" s="5" t="s">
        <v>117</v>
      </c>
      <c r="D56" s="6" t="n">
        <v>2191382.86</v>
      </c>
      <c r="E56" s="6" t="n">
        <f aca="false">D56*0.03</f>
        <v>65741.4858</v>
      </c>
      <c r="F56" s="6" t="n">
        <f aca="false">D56*0.001</f>
        <v>2191.38286</v>
      </c>
      <c r="G56" s="6" t="n">
        <v>20000</v>
      </c>
      <c r="H56" s="6" t="n">
        <f aca="false">D56-E56-F56-G56</f>
        <v>2103449.99134</v>
      </c>
      <c r="I56" s="6" t="n">
        <f aca="false">D56*0.01</f>
        <v>21913.8286</v>
      </c>
      <c r="J56" s="6" t="n">
        <f aca="false">D56*0.02</f>
        <v>43827.6572</v>
      </c>
    </row>
    <row r="57" customFormat="false" ht="15" hidden="false" customHeight="false" outlineLevel="0" collapsed="false">
      <c r="A57" s="4" t="n">
        <v>54</v>
      </c>
      <c r="B57" s="4" t="s">
        <v>118</v>
      </c>
      <c r="C57" s="5" t="s">
        <v>119</v>
      </c>
      <c r="D57" s="6" t="n">
        <v>2175235.94</v>
      </c>
      <c r="E57" s="6" t="n">
        <f aca="false">D57*0.03</f>
        <v>65257.0782</v>
      </c>
      <c r="F57" s="6" t="n">
        <f aca="false">D57*0.001</f>
        <v>2175.23594</v>
      </c>
      <c r="G57" s="6" t="n">
        <v>20000</v>
      </c>
      <c r="H57" s="6" t="n">
        <f aca="false">D57-E57-F57-G57</f>
        <v>2087803.62586</v>
      </c>
      <c r="I57" s="6" t="n">
        <f aca="false">D57*0.01</f>
        <v>21752.3594</v>
      </c>
      <c r="J57" s="6" t="n">
        <f aca="false">D57*0.02</f>
        <v>43504.7188</v>
      </c>
    </row>
    <row r="58" customFormat="false" ht="15" hidden="false" customHeight="false" outlineLevel="0" collapsed="false">
      <c r="A58" s="4" t="n">
        <v>55</v>
      </c>
      <c r="B58" s="4" t="s">
        <v>120</v>
      </c>
      <c r="C58" s="5" t="s">
        <v>121</v>
      </c>
      <c r="D58" s="6" t="n">
        <v>2171746.34</v>
      </c>
      <c r="E58" s="6" t="n">
        <f aca="false">D58*0.03</f>
        <v>65152.3902</v>
      </c>
      <c r="F58" s="6" t="n">
        <f aca="false">D58*0.001</f>
        <v>2171.74634</v>
      </c>
      <c r="G58" s="6" t="n">
        <v>20000</v>
      </c>
      <c r="H58" s="6" t="n">
        <f aca="false">D58-E58-F58-G58</f>
        <v>2084422.20346</v>
      </c>
      <c r="I58" s="6" t="n">
        <f aca="false">D58*0.01</f>
        <v>21717.4634</v>
      </c>
      <c r="J58" s="6" t="n">
        <f aca="false">D58*0.02</f>
        <v>43434.9268</v>
      </c>
    </row>
    <row r="59" customFormat="false" ht="15" hidden="false" customHeight="false" outlineLevel="0" collapsed="false">
      <c r="A59" s="4" t="n">
        <v>56</v>
      </c>
      <c r="B59" s="4" t="s">
        <v>122</v>
      </c>
      <c r="C59" s="5" t="s">
        <v>123</v>
      </c>
      <c r="D59" s="6" t="n">
        <v>2149281.85</v>
      </c>
      <c r="E59" s="6" t="n">
        <f aca="false">D59*0.03</f>
        <v>64478.4555</v>
      </c>
      <c r="F59" s="6" t="n">
        <f aca="false">D59*0.001</f>
        <v>2149.28185</v>
      </c>
      <c r="G59" s="6" t="n">
        <v>20000</v>
      </c>
      <c r="H59" s="6" t="n">
        <f aca="false">D59-E59-F59-G59</f>
        <v>2062654.11265</v>
      </c>
      <c r="I59" s="6" t="n">
        <f aca="false">D59*0.01</f>
        <v>21492.8185</v>
      </c>
      <c r="J59" s="6" t="n">
        <f aca="false">D59*0.02</f>
        <v>42985.637</v>
      </c>
    </row>
    <row r="60" customFormat="false" ht="15" hidden="false" customHeight="false" outlineLevel="0" collapsed="false">
      <c r="A60" s="4" t="n">
        <v>57</v>
      </c>
      <c r="B60" s="4" t="s">
        <v>124</v>
      </c>
      <c r="C60" s="5" t="s">
        <v>125</v>
      </c>
      <c r="D60" s="6" t="n">
        <v>2108919.38</v>
      </c>
      <c r="E60" s="6" t="n">
        <f aca="false">D60*0.03</f>
        <v>63267.5814</v>
      </c>
      <c r="F60" s="6" t="n">
        <f aca="false">D60*0.001</f>
        <v>2108.91938</v>
      </c>
      <c r="G60" s="6" t="n">
        <v>20000</v>
      </c>
      <c r="H60" s="6" t="n">
        <f aca="false">D60-E60-F60-G60</f>
        <v>2023542.87922</v>
      </c>
      <c r="I60" s="6" t="n">
        <f aca="false">D60*0.01</f>
        <v>21089.1938</v>
      </c>
      <c r="J60" s="6" t="n">
        <f aca="false">D60*0.02</f>
        <v>42178.3876</v>
      </c>
    </row>
    <row r="61" customFormat="false" ht="15" hidden="false" customHeight="false" outlineLevel="0" collapsed="false">
      <c r="A61" s="4" t="n">
        <v>58</v>
      </c>
      <c r="B61" s="4" t="s">
        <v>126</v>
      </c>
      <c r="C61" s="5" t="s">
        <v>127</v>
      </c>
      <c r="D61" s="6" t="n">
        <v>2105557.05</v>
      </c>
      <c r="E61" s="6" t="n">
        <f aca="false">D61*0.03</f>
        <v>63166.7115</v>
      </c>
      <c r="F61" s="6" t="n">
        <f aca="false">D61*0.001</f>
        <v>2105.55705</v>
      </c>
      <c r="G61" s="6" t="n">
        <v>20000</v>
      </c>
      <c r="H61" s="6" t="n">
        <f aca="false">D61-E61-F61-G61</f>
        <v>2020284.78145</v>
      </c>
      <c r="I61" s="6" t="n">
        <f aca="false">D61*0.01</f>
        <v>21055.5705</v>
      </c>
      <c r="J61" s="6" t="n">
        <f aca="false">D61*0.02</f>
        <v>42111.141</v>
      </c>
    </row>
    <row r="62" customFormat="false" ht="15" hidden="false" customHeight="false" outlineLevel="0" collapsed="false">
      <c r="A62" s="4" t="n">
        <v>59</v>
      </c>
      <c r="B62" s="4" t="s">
        <v>128</v>
      </c>
      <c r="C62" s="5" t="s">
        <v>129</v>
      </c>
      <c r="D62" s="6" t="n">
        <v>2097670.2</v>
      </c>
      <c r="E62" s="6" t="n">
        <f aca="false">D62*0.03</f>
        <v>62930.106</v>
      </c>
      <c r="F62" s="6" t="n">
        <f aca="false">D62*0.001</f>
        <v>2097.6702</v>
      </c>
      <c r="G62" s="6" t="n">
        <v>20000</v>
      </c>
      <c r="H62" s="6" t="n">
        <f aca="false">D62-E62-F62-G62</f>
        <v>2012642.4238</v>
      </c>
      <c r="I62" s="6" t="n">
        <f aca="false">D62*0.01</f>
        <v>20976.702</v>
      </c>
      <c r="J62" s="6" t="n">
        <f aca="false">D62*0.02</f>
        <v>41953.404</v>
      </c>
    </row>
    <row r="63" customFormat="false" ht="15" hidden="false" customHeight="false" outlineLevel="0" collapsed="false">
      <c r="A63" s="4" t="n">
        <v>60</v>
      </c>
      <c r="B63" s="4" t="s">
        <v>130</v>
      </c>
      <c r="C63" s="5" t="s">
        <v>131</v>
      </c>
      <c r="D63" s="6" t="n">
        <v>2017490.58</v>
      </c>
      <c r="E63" s="6" t="n">
        <f aca="false">D63*0.03</f>
        <v>60524.7174</v>
      </c>
      <c r="F63" s="6" t="n">
        <f aca="false">D63*0.001</f>
        <v>2017.49058</v>
      </c>
      <c r="G63" s="6" t="n">
        <v>20000</v>
      </c>
      <c r="H63" s="6" t="n">
        <f aca="false">D63-E63-F63-G63</f>
        <v>1934948.37202</v>
      </c>
      <c r="I63" s="6" t="n">
        <f aca="false">D63*0.01</f>
        <v>20174.9058</v>
      </c>
      <c r="J63" s="6" t="n">
        <f aca="false">D63*0.02</f>
        <v>40349.8116</v>
      </c>
    </row>
    <row r="64" customFormat="false" ht="15" hidden="false" customHeight="false" outlineLevel="0" collapsed="false">
      <c r="A64" s="4" t="n">
        <v>61</v>
      </c>
      <c r="B64" s="4" t="s">
        <v>132</v>
      </c>
      <c r="C64" s="5" t="s">
        <v>133</v>
      </c>
      <c r="D64" s="6" t="n">
        <v>1902244.19</v>
      </c>
      <c r="E64" s="6" t="n">
        <f aca="false">D64*0.03</f>
        <v>57067.3257</v>
      </c>
      <c r="F64" s="6" t="n">
        <f aca="false">D64*0.001</f>
        <v>1902.24419</v>
      </c>
      <c r="G64" s="6" t="n">
        <v>20000</v>
      </c>
      <c r="H64" s="6" t="n">
        <f aca="false">D64-E64-F64-G64</f>
        <v>1823274.62011</v>
      </c>
      <c r="I64" s="6" t="n">
        <f aca="false">D64*0.01</f>
        <v>19022.4419</v>
      </c>
      <c r="J64" s="6" t="n">
        <f aca="false">D64*0.02</f>
        <v>38044.8838</v>
      </c>
    </row>
    <row r="65" customFormat="false" ht="15" hidden="false" customHeight="false" outlineLevel="0" collapsed="false">
      <c r="A65" s="4" t="n">
        <v>62</v>
      </c>
      <c r="B65" s="4" t="s">
        <v>134</v>
      </c>
      <c r="C65" s="5" t="s">
        <v>135</v>
      </c>
      <c r="D65" s="6" t="n">
        <v>1881721.54</v>
      </c>
      <c r="E65" s="6" t="n">
        <f aca="false">D65*0.03</f>
        <v>56451.6462</v>
      </c>
      <c r="F65" s="6" t="n">
        <f aca="false">D65*0.001</f>
        <v>1881.72154</v>
      </c>
      <c r="G65" s="6" t="n">
        <v>20000</v>
      </c>
      <c r="H65" s="6" t="n">
        <f aca="false">D65-E65-F65-G65</f>
        <v>1803388.17226</v>
      </c>
      <c r="I65" s="6" t="n">
        <f aca="false">D65*0.01</f>
        <v>18817.2154</v>
      </c>
      <c r="J65" s="6" t="n">
        <f aca="false">D65*0.02</f>
        <v>37634.4308</v>
      </c>
    </row>
    <row r="66" customFormat="false" ht="15" hidden="false" customHeight="false" outlineLevel="0" collapsed="false">
      <c r="A66" s="4" t="n">
        <v>63</v>
      </c>
      <c r="B66" s="4" t="s">
        <v>136</v>
      </c>
      <c r="C66" s="5" t="s">
        <v>137</v>
      </c>
      <c r="D66" s="6" t="n">
        <v>1850930.59</v>
      </c>
      <c r="E66" s="6" t="n">
        <f aca="false">D66*0.03</f>
        <v>55527.9177</v>
      </c>
      <c r="F66" s="6" t="n">
        <f aca="false">D66*0.001</f>
        <v>1850.93059</v>
      </c>
      <c r="G66" s="6" t="n">
        <v>20000</v>
      </c>
      <c r="H66" s="6" t="n">
        <f aca="false">D66-E66-F66-G66</f>
        <v>1773551.74171</v>
      </c>
      <c r="I66" s="6" t="n">
        <f aca="false">D66*0.01</f>
        <v>18509.3059</v>
      </c>
      <c r="J66" s="6" t="n">
        <f aca="false">D66*0.02</f>
        <v>37018.6118</v>
      </c>
    </row>
    <row r="67" customFormat="false" ht="15" hidden="false" customHeight="false" outlineLevel="0" collapsed="false">
      <c r="A67" s="4" t="n">
        <v>64</v>
      </c>
      <c r="B67" s="4" t="s">
        <v>138</v>
      </c>
      <c r="C67" s="5" t="s">
        <v>139</v>
      </c>
      <c r="D67" s="6" t="n">
        <v>1808262.27</v>
      </c>
      <c r="E67" s="6" t="n">
        <f aca="false">D67*0.03</f>
        <v>54247.8681</v>
      </c>
      <c r="F67" s="6" t="n">
        <f aca="false">D67*0.001</f>
        <v>1808.26227</v>
      </c>
      <c r="G67" s="6" t="n">
        <v>20000</v>
      </c>
      <c r="H67" s="6" t="n">
        <f aca="false">D67-E67-F67-G67</f>
        <v>1732206.13963</v>
      </c>
      <c r="I67" s="6" t="n">
        <f aca="false">D67*0.01</f>
        <v>18082.6227</v>
      </c>
      <c r="J67" s="6" t="n">
        <f aca="false">D67*0.02</f>
        <v>36165.2454</v>
      </c>
    </row>
    <row r="68" customFormat="false" ht="15" hidden="false" customHeight="false" outlineLevel="0" collapsed="false">
      <c r="A68" s="4" t="n">
        <v>65</v>
      </c>
      <c r="B68" s="4" t="s">
        <v>140</v>
      </c>
      <c r="C68" s="5" t="s">
        <v>141</v>
      </c>
      <c r="D68" s="6" t="n">
        <v>1806240.65</v>
      </c>
      <c r="E68" s="6" t="n">
        <f aca="false">D68*0.03</f>
        <v>54187.2195</v>
      </c>
      <c r="F68" s="6" t="n">
        <f aca="false">D68*0.001</f>
        <v>1806.24065</v>
      </c>
      <c r="G68" s="6" t="n">
        <v>20000</v>
      </c>
      <c r="H68" s="6" t="n">
        <f aca="false">D68-E68-F68-G68</f>
        <v>1730247.18985</v>
      </c>
      <c r="I68" s="6" t="n">
        <f aca="false">D68*0.01</f>
        <v>18062.4065</v>
      </c>
      <c r="J68" s="6" t="n">
        <f aca="false">D68*0.02</f>
        <v>36124.813</v>
      </c>
    </row>
    <row r="69" customFormat="false" ht="15" hidden="false" customHeight="false" outlineLevel="0" collapsed="false">
      <c r="A69" s="4" t="n">
        <v>66</v>
      </c>
      <c r="B69" s="4" t="s">
        <v>142</v>
      </c>
      <c r="C69" s="5" t="s">
        <v>143</v>
      </c>
      <c r="D69" s="6" t="n">
        <v>1677133.06</v>
      </c>
      <c r="E69" s="6" t="n">
        <f aca="false">D69*0.03</f>
        <v>50313.9918</v>
      </c>
      <c r="F69" s="6" t="n">
        <f aca="false">D69*0.001</f>
        <v>1677.13306</v>
      </c>
      <c r="G69" s="6" t="n">
        <v>20000</v>
      </c>
      <c r="H69" s="6" t="n">
        <f aca="false">D69-E69-F69-G69</f>
        <v>1605141.93514</v>
      </c>
      <c r="I69" s="6" t="n">
        <f aca="false">D69*0.01</f>
        <v>16771.3306</v>
      </c>
      <c r="J69" s="6" t="n">
        <f aca="false">D69*0.02</f>
        <v>33542.6612</v>
      </c>
    </row>
    <row r="70" customFormat="false" ht="15" hidden="false" customHeight="false" outlineLevel="0" collapsed="false">
      <c r="A70" s="4" t="n">
        <v>67</v>
      </c>
      <c r="B70" s="4" t="s">
        <v>144</v>
      </c>
      <c r="C70" s="5" t="s">
        <v>145</v>
      </c>
      <c r="D70" s="6" t="n">
        <v>1666925.63</v>
      </c>
      <c r="E70" s="6" t="n">
        <f aca="false">D70*0.03</f>
        <v>50007.7689</v>
      </c>
      <c r="F70" s="6" t="n">
        <f aca="false">D70*0.001</f>
        <v>1666.92563</v>
      </c>
      <c r="G70" s="6" t="n">
        <v>20000</v>
      </c>
      <c r="H70" s="6" t="n">
        <f aca="false">D70-E70-F70-G70</f>
        <v>1595250.93547</v>
      </c>
      <c r="I70" s="6" t="n">
        <f aca="false">D70*0.01</f>
        <v>16669.2563</v>
      </c>
      <c r="J70" s="6" t="n">
        <f aca="false">D70*0.02</f>
        <v>33338.5126</v>
      </c>
    </row>
    <row r="71" customFormat="false" ht="15" hidden="false" customHeight="false" outlineLevel="0" collapsed="false">
      <c r="A71" s="4" t="n">
        <v>68</v>
      </c>
      <c r="B71" s="4" t="s">
        <v>146</v>
      </c>
      <c r="C71" s="5" t="s">
        <v>147</v>
      </c>
      <c r="D71" s="6" t="n">
        <v>1571149.95</v>
      </c>
      <c r="E71" s="6" t="n">
        <f aca="false">D71*0.03</f>
        <v>47134.4985</v>
      </c>
      <c r="F71" s="6" t="n">
        <f aca="false">D71*0.001</f>
        <v>1571.14995</v>
      </c>
      <c r="G71" s="6" t="n">
        <v>20000</v>
      </c>
      <c r="H71" s="6" t="n">
        <f aca="false">D71-E71-F71-G71</f>
        <v>1502444.30155</v>
      </c>
      <c r="I71" s="6" t="n">
        <f aca="false">D71*0.01</f>
        <v>15711.4995</v>
      </c>
      <c r="J71" s="6" t="n">
        <f aca="false">D71*0.02</f>
        <v>31422.999</v>
      </c>
    </row>
    <row r="72" customFormat="false" ht="15" hidden="false" customHeight="false" outlineLevel="0" collapsed="false">
      <c r="A72" s="4" t="n">
        <v>69</v>
      </c>
      <c r="B72" s="4" t="s">
        <v>148</v>
      </c>
      <c r="C72" s="5" t="s">
        <v>149</v>
      </c>
      <c r="D72" s="6" t="n">
        <v>1554632.62</v>
      </c>
      <c r="E72" s="6" t="n">
        <f aca="false">D72*0.03</f>
        <v>46638.9786</v>
      </c>
      <c r="F72" s="6" t="n">
        <f aca="false">D72*0.001</f>
        <v>1554.63262</v>
      </c>
      <c r="G72" s="6" t="n">
        <v>20000</v>
      </c>
      <c r="H72" s="6" t="n">
        <f aca="false">D72-E72-F72-G72</f>
        <v>1486439.00878</v>
      </c>
      <c r="I72" s="6" t="n">
        <f aca="false">D72*0.01</f>
        <v>15546.3262</v>
      </c>
      <c r="J72" s="6" t="n">
        <f aca="false">D72*0.02</f>
        <v>31092.6524</v>
      </c>
    </row>
    <row r="73" customFormat="false" ht="15" hidden="false" customHeight="false" outlineLevel="0" collapsed="false">
      <c r="A73" s="4" t="n">
        <v>70</v>
      </c>
      <c r="B73" s="4" t="s">
        <v>150</v>
      </c>
      <c r="C73" s="5" t="s">
        <v>151</v>
      </c>
      <c r="D73" s="6" t="n">
        <v>1501387.33</v>
      </c>
      <c r="E73" s="6" t="n">
        <f aca="false">D73*0.03</f>
        <v>45041.6199</v>
      </c>
      <c r="F73" s="6" t="n">
        <f aca="false">D73*0.001</f>
        <v>1501.38733</v>
      </c>
      <c r="G73" s="6" t="n">
        <v>20000</v>
      </c>
      <c r="H73" s="6" t="n">
        <f aca="false">D73-E73-F73-G73</f>
        <v>1434844.32277</v>
      </c>
      <c r="I73" s="6" t="n">
        <f aca="false">D73*0.01</f>
        <v>15013.8733</v>
      </c>
      <c r="J73" s="6" t="n">
        <f aca="false">D73*0.02</f>
        <v>30027.7466</v>
      </c>
    </row>
    <row r="74" customFormat="false" ht="15" hidden="false" customHeight="false" outlineLevel="0" collapsed="false">
      <c r="A74" s="4" t="n">
        <v>71</v>
      </c>
      <c r="B74" s="4" t="s">
        <v>152</v>
      </c>
      <c r="C74" s="5" t="s">
        <v>153</v>
      </c>
      <c r="D74" s="6" t="n">
        <v>1498037.39</v>
      </c>
      <c r="E74" s="6" t="n">
        <f aca="false">D74*0.03</f>
        <v>44941.1217</v>
      </c>
      <c r="F74" s="6" t="n">
        <f aca="false">D74*0.001</f>
        <v>1498.03739</v>
      </c>
      <c r="G74" s="6" t="n">
        <v>20000</v>
      </c>
      <c r="H74" s="6" t="n">
        <f aca="false">D74-E74-F74-G74</f>
        <v>1431598.23091</v>
      </c>
      <c r="I74" s="6" t="n">
        <f aca="false">D74*0.01</f>
        <v>14980.3739</v>
      </c>
      <c r="J74" s="6" t="n">
        <f aca="false">D74*0.02</f>
        <v>29960.7478</v>
      </c>
    </row>
    <row r="75" customFormat="false" ht="15" hidden="false" customHeight="false" outlineLevel="0" collapsed="false">
      <c r="A75" s="4" t="n">
        <v>72</v>
      </c>
      <c r="B75" s="4" t="s">
        <v>154</v>
      </c>
      <c r="C75" s="5" t="s">
        <v>155</v>
      </c>
      <c r="D75" s="6" t="n">
        <v>1415588.5</v>
      </c>
      <c r="E75" s="6" t="n">
        <f aca="false">D75*0.03</f>
        <v>42467.655</v>
      </c>
      <c r="F75" s="6" t="n">
        <f aca="false">D75*0.001</f>
        <v>1415.5885</v>
      </c>
      <c r="G75" s="6" t="n">
        <v>20000</v>
      </c>
      <c r="H75" s="6" t="n">
        <f aca="false">D75-E75-F75-G75</f>
        <v>1351705.2565</v>
      </c>
      <c r="I75" s="6" t="n">
        <f aca="false">D75*0.01</f>
        <v>14155.885</v>
      </c>
      <c r="J75" s="6" t="n">
        <f aca="false">D75*0.02</f>
        <v>28311.77</v>
      </c>
    </row>
    <row r="76" customFormat="false" ht="15" hidden="false" customHeight="false" outlineLevel="0" collapsed="false">
      <c r="A76" s="4" t="n">
        <v>73</v>
      </c>
      <c r="B76" s="4" t="s">
        <v>156</v>
      </c>
      <c r="C76" s="5" t="s">
        <v>157</v>
      </c>
      <c r="D76" s="6" t="n">
        <v>1389251.29</v>
      </c>
      <c r="E76" s="6" t="n">
        <f aca="false">D76*0.03</f>
        <v>41677.5387</v>
      </c>
      <c r="F76" s="6" t="n">
        <f aca="false">D76*0.001</f>
        <v>1389.25129</v>
      </c>
      <c r="G76" s="6" t="n">
        <v>20000</v>
      </c>
      <c r="H76" s="6" t="n">
        <f aca="false">D76-E76-F76-G76</f>
        <v>1326184.50001</v>
      </c>
      <c r="I76" s="6" t="n">
        <f aca="false">D76*0.01</f>
        <v>13892.5129</v>
      </c>
      <c r="J76" s="6" t="n">
        <f aca="false">D76*0.02</f>
        <v>27785.0258</v>
      </c>
    </row>
    <row r="77" customFormat="false" ht="15" hidden="false" customHeight="false" outlineLevel="0" collapsed="false">
      <c r="A77" s="4" t="n">
        <v>74</v>
      </c>
      <c r="B77" s="4" t="s">
        <v>158</v>
      </c>
      <c r="C77" s="5" t="s">
        <v>159</v>
      </c>
      <c r="D77" s="6" t="n">
        <v>1387211.1</v>
      </c>
      <c r="E77" s="6" t="n">
        <f aca="false">D77*0.03</f>
        <v>41616.333</v>
      </c>
      <c r="F77" s="6" t="n">
        <f aca="false">D77*0.001</f>
        <v>1387.2111</v>
      </c>
      <c r="G77" s="6" t="n">
        <v>20000</v>
      </c>
      <c r="H77" s="6" t="n">
        <f aca="false">D77-E77-F77-G77</f>
        <v>1324207.5559</v>
      </c>
      <c r="I77" s="6" t="n">
        <f aca="false">D77*0.01</f>
        <v>13872.111</v>
      </c>
      <c r="J77" s="6" t="n">
        <f aca="false">D77*0.02</f>
        <v>27744.222</v>
      </c>
    </row>
    <row r="78" customFormat="false" ht="15" hidden="false" customHeight="false" outlineLevel="0" collapsed="false">
      <c r="A78" s="4" t="n">
        <v>75</v>
      </c>
      <c r="B78" s="4" t="s">
        <v>160</v>
      </c>
      <c r="C78" s="5" t="s">
        <v>161</v>
      </c>
      <c r="D78" s="6" t="n">
        <v>1380504.76</v>
      </c>
      <c r="E78" s="6" t="n">
        <f aca="false">D78*0.03</f>
        <v>41415.1428</v>
      </c>
      <c r="F78" s="6" t="n">
        <f aca="false">D78*0.001</f>
        <v>1380.50476</v>
      </c>
      <c r="G78" s="6" t="n">
        <v>20000</v>
      </c>
      <c r="H78" s="6" t="n">
        <f aca="false">D78-E78-F78-G78</f>
        <v>1317709.11244</v>
      </c>
      <c r="I78" s="6" t="n">
        <f aca="false">D78*0.01</f>
        <v>13805.0476</v>
      </c>
      <c r="J78" s="6" t="n">
        <f aca="false">D78*0.02</f>
        <v>27610.0952</v>
      </c>
    </row>
    <row r="79" customFormat="false" ht="15" hidden="false" customHeight="false" outlineLevel="0" collapsed="false">
      <c r="A79" s="4" t="n">
        <v>76</v>
      </c>
      <c r="B79" s="4" t="s">
        <v>162</v>
      </c>
      <c r="C79" s="5" t="s">
        <v>163</v>
      </c>
      <c r="D79" s="6" t="n">
        <v>1348182.06</v>
      </c>
      <c r="E79" s="6" t="n">
        <f aca="false">D79*0.03</f>
        <v>40445.4618</v>
      </c>
      <c r="F79" s="6" t="n">
        <f aca="false">D79*0.001</f>
        <v>1348.18206</v>
      </c>
      <c r="G79" s="6" t="n">
        <v>20000</v>
      </c>
      <c r="H79" s="6" t="n">
        <f aca="false">D79-E79-F79-G79</f>
        <v>1286388.41614</v>
      </c>
      <c r="I79" s="6" t="n">
        <f aca="false">D79*0.01</f>
        <v>13481.8206</v>
      </c>
      <c r="J79" s="6" t="n">
        <f aca="false">D79*0.02</f>
        <v>26963.6412</v>
      </c>
    </row>
    <row r="80" customFormat="false" ht="15" hidden="false" customHeight="false" outlineLevel="0" collapsed="false">
      <c r="A80" s="4" t="n">
        <v>77</v>
      </c>
      <c r="B80" s="4" t="s">
        <v>164</v>
      </c>
      <c r="C80" s="5" t="s">
        <v>165</v>
      </c>
      <c r="D80" s="6" t="n">
        <v>1302735.66</v>
      </c>
      <c r="E80" s="6" t="n">
        <f aca="false">D80*0.03</f>
        <v>39082.0698</v>
      </c>
      <c r="F80" s="6" t="n">
        <f aca="false">D80*0.001</f>
        <v>1302.73566</v>
      </c>
      <c r="G80" s="6" t="n">
        <v>20000</v>
      </c>
      <c r="H80" s="6" t="n">
        <f aca="false">D80-E80-F80-G80</f>
        <v>1242350.85454</v>
      </c>
      <c r="I80" s="6" t="n">
        <f aca="false">D80*0.01</f>
        <v>13027.3566</v>
      </c>
      <c r="J80" s="6" t="n">
        <f aca="false">D80*0.02</f>
        <v>26054.7132</v>
      </c>
    </row>
    <row r="81" customFormat="false" ht="15" hidden="false" customHeight="false" outlineLevel="0" collapsed="false">
      <c r="A81" s="4" t="n">
        <v>78</v>
      </c>
      <c r="B81" s="4" t="s">
        <v>166</v>
      </c>
      <c r="C81" s="5" t="s">
        <v>167</v>
      </c>
      <c r="D81" s="6" t="n">
        <v>1295072.01</v>
      </c>
      <c r="E81" s="6" t="n">
        <f aca="false">D81*0.03</f>
        <v>38852.1603</v>
      </c>
      <c r="F81" s="6" t="n">
        <f aca="false">D81*0.001</f>
        <v>1295.07201</v>
      </c>
      <c r="G81" s="6" t="n">
        <v>20000</v>
      </c>
      <c r="H81" s="6" t="n">
        <f aca="false">D81-E81-F81-G81</f>
        <v>1234924.77769</v>
      </c>
      <c r="I81" s="6" t="n">
        <f aca="false">D81*0.01</f>
        <v>12950.7201</v>
      </c>
      <c r="J81" s="6" t="n">
        <f aca="false">D81*0.02</f>
        <v>25901.4402</v>
      </c>
    </row>
    <row r="82" customFormat="false" ht="15" hidden="false" customHeight="false" outlineLevel="0" collapsed="false">
      <c r="A82" s="4" t="n">
        <v>79</v>
      </c>
      <c r="B82" s="4" t="s">
        <v>168</v>
      </c>
      <c r="C82" s="5" t="s">
        <v>169</v>
      </c>
      <c r="D82" s="6" t="n">
        <v>1289539.27</v>
      </c>
      <c r="E82" s="6" t="n">
        <f aca="false">D82*0.03</f>
        <v>38686.1781</v>
      </c>
      <c r="F82" s="6" t="n">
        <f aca="false">D82*0.001</f>
        <v>1289.53927</v>
      </c>
      <c r="G82" s="6" t="n">
        <v>20000</v>
      </c>
      <c r="H82" s="6" t="n">
        <f aca="false">D82-E82-F82-G82</f>
        <v>1229563.55263</v>
      </c>
      <c r="I82" s="6" t="n">
        <f aca="false">D82*0.01</f>
        <v>12895.3927</v>
      </c>
      <c r="J82" s="6" t="n">
        <f aca="false">D82*0.02</f>
        <v>25790.7854</v>
      </c>
    </row>
    <row r="83" customFormat="false" ht="15" hidden="false" customHeight="false" outlineLevel="0" collapsed="false">
      <c r="A83" s="4" t="n">
        <v>80</v>
      </c>
      <c r="B83" s="4" t="s">
        <v>170</v>
      </c>
      <c r="C83" s="5" t="s">
        <v>171</v>
      </c>
      <c r="D83" s="6" t="n">
        <v>1209520.1</v>
      </c>
      <c r="E83" s="6" t="n">
        <f aca="false">D83*0.03</f>
        <v>36285.603</v>
      </c>
      <c r="F83" s="6" t="n">
        <f aca="false">D83*0.001</f>
        <v>1209.5201</v>
      </c>
      <c r="G83" s="6" t="n">
        <v>20000</v>
      </c>
      <c r="H83" s="6" t="n">
        <f aca="false">D83-E83-F83-G83</f>
        <v>1152024.9769</v>
      </c>
      <c r="I83" s="6" t="n">
        <f aca="false">D83*0.01</f>
        <v>12095.201</v>
      </c>
      <c r="J83" s="6" t="n">
        <f aca="false">D83*0.02</f>
        <v>24190.402</v>
      </c>
    </row>
    <row r="84" customFormat="false" ht="15" hidden="false" customHeight="false" outlineLevel="0" collapsed="false">
      <c r="A84" s="4" t="n">
        <v>81</v>
      </c>
      <c r="B84" s="4" t="s">
        <v>172</v>
      </c>
      <c r="C84" s="5" t="s">
        <v>173</v>
      </c>
      <c r="D84" s="6" t="n">
        <v>1184159.99</v>
      </c>
      <c r="E84" s="6" t="n">
        <f aca="false">D84*0.03</f>
        <v>35524.7997</v>
      </c>
      <c r="F84" s="6" t="n">
        <f aca="false">D84*0.001</f>
        <v>1184.15999</v>
      </c>
      <c r="G84" s="6" t="n">
        <v>20000</v>
      </c>
      <c r="H84" s="6" t="n">
        <f aca="false">D84-E84-F84-G84</f>
        <v>1127451.03031</v>
      </c>
      <c r="I84" s="6" t="n">
        <f aca="false">D84*0.01</f>
        <v>11841.5999</v>
      </c>
      <c r="J84" s="6" t="n">
        <f aca="false">D84*0.02</f>
        <v>23683.1998</v>
      </c>
    </row>
    <row r="85" customFormat="false" ht="15" hidden="false" customHeight="false" outlineLevel="0" collapsed="false">
      <c r="A85" s="4" t="n">
        <v>82</v>
      </c>
      <c r="B85" s="4" t="s">
        <v>174</v>
      </c>
      <c r="C85" s="5" t="s">
        <v>175</v>
      </c>
      <c r="D85" s="6" t="n">
        <v>1124648.65</v>
      </c>
      <c r="E85" s="6" t="n">
        <f aca="false">D85*0.03</f>
        <v>33739.4595</v>
      </c>
      <c r="F85" s="6" t="n">
        <f aca="false">D85*0.001</f>
        <v>1124.64865</v>
      </c>
      <c r="G85" s="6" t="n">
        <v>20000</v>
      </c>
      <c r="H85" s="6" t="n">
        <f aca="false">D85-E85-F85-G85</f>
        <v>1069784.54185</v>
      </c>
      <c r="I85" s="6" t="n">
        <f aca="false">D85*0.01</f>
        <v>11246.4865</v>
      </c>
      <c r="J85" s="6" t="n">
        <f aca="false">D85*0.02</f>
        <v>22492.973</v>
      </c>
    </row>
    <row r="86" customFormat="false" ht="15" hidden="false" customHeight="false" outlineLevel="0" collapsed="false">
      <c r="A86" s="4" t="n">
        <v>83</v>
      </c>
      <c r="B86" s="4" t="s">
        <v>176</v>
      </c>
      <c r="C86" s="5" t="s">
        <v>177</v>
      </c>
      <c r="D86" s="6" t="n">
        <v>1085610.79</v>
      </c>
      <c r="E86" s="6" t="n">
        <f aca="false">D86*0.03</f>
        <v>32568.3237</v>
      </c>
      <c r="F86" s="6" t="n">
        <f aca="false">D86*0.001</f>
        <v>1085.61079</v>
      </c>
      <c r="G86" s="6" t="n">
        <v>20000</v>
      </c>
      <c r="H86" s="6" t="n">
        <f aca="false">D86-E86-F86-G86</f>
        <v>1031956.85551</v>
      </c>
      <c r="I86" s="6" t="n">
        <f aca="false">D86*0.01</f>
        <v>10856.1079</v>
      </c>
      <c r="J86" s="6" t="n">
        <f aca="false">D86*0.02</f>
        <v>21712.2158</v>
      </c>
    </row>
    <row r="87" customFormat="false" ht="15" hidden="false" customHeight="false" outlineLevel="0" collapsed="false">
      <c r="A87" s="4" t="n">
        <v>84</v>
      </c>
      <c r="B87" s="4" t="s">
        <v>178</v>
      </c>
      <c r="C87" s="5" t="s">
        <v>179</v>
      </c>
      <c r="D87" s="6" t="n">
        <v>1054015.87</v>
      </c>
      <c r="E87" s="6" t="n">
        <f aca="false">D87*0.03</f>
        <v>31620.4761</v>
      </c>
      <c r="F87" s="6" t="n">
        <f aca="false">D87*0.001</f>
        <v>1054.01587</v>
      </c>
      <c r="G87" s="6" t="n">
        <v>20000</v>
      </c>
      <c r="H87" s="6" t="n">
        <f aca="false">D87-E87-F87-G87</f>
        <v>1001341.37803</v>
      </c>
      <c r="I87" s="6" t="n">
        <f aca="false">D87*0.01</f>
        <v>10540.1587</v>
      </c>
      <c r="J87" s="6" t="n">
        <f aca="false">D87*0.02</f>
        <v>21080.3174</v>
      </c>
    </row>
    <row r="88" customFormat="false" ht="15" hidden="false" customHeight="false" outlineLevel="0" collapsed="false">
      <c r="A88" s="4" t="n">
        <v>85</v>
      </c>
      <c r="B88" s="4" t="s">
        <v>180</v>
      </c>
      <c r="C88" s="5" t="s">
        <v>181</v>
      </c>
      <c r="D88" s="6" t="n">
        <v>1040894.61</v>
      </c>
      <c r="E88" s="6" t="n">
        <f aca="false">D88*0.03</f>
        <v>31226.8383</v>
      </c>
      <c r="F88" s="6" t="n">
        <f aca="false">D88*0.001</f>
        <v>1040.89461</v>
      </c>
      <c r="G88" s="6" t="n">
        <v>20000</v>
      </c>
      <c r="H88" s="6" t="n">
        <f aca="false">D88-E88-F88-G88</f>
        <v>988626.87709</v>
      </c>
      <c r="I88" s="6" t="n">
        <f aca="false">D88*0.01</f>
        <v>10408.9461</v>
      </c>
      <c r="J88" s="6" t="n">
        <f aca="false">D88*0.02</f>
        <v>20817.8922</v>
      </c>
    </row>
    <row r="89" customFormat="false" ht="15" hidden="false" customHeight="false" outlineLevel="0" collapsed="false">
      <c r="A89" s="4" t="n">
        <v>86</v>
      </c>
      <c r="B89" s="4" t="s">
        <v>182</v>
      </c>
      <c r="C89" s="5" t="s">
        <v>183</v>
      </c>
      <c r="D89" s="6" t="n">
        <v>1037511.96</v>
      </c>
      <c r="E89" s="6" t="n">
        <f aca="false">D89*0.03</f>
        <v>31125.3588</v>
      </c>
      <c r="F89" s="6" t="n">
        <f aca="false">D89*0.001</f>
        <v>1037.51196</v>
      </c>
      <c r="G89" s="6" t="n">
        <v>20000</v>
      </c>
      <c r="H89" s="6" t="n">
        <f aca="false">D89-E89-F89-G89</f>
        <v>985349.08924</v>
      </c>
      <c r="I89" s="6" t="n">
        <f aca="false">D89*0.01</f>
        <v>10375.1196</v>
      </c>
      <c r="J89" s="6" t="n">
        <f aca="false">D89*0.02</f>
        <v>20750.2392</v>
      </c>
    </row>
    <row r="90" customFormat="false" ht="15" hidden="false" customHeight="false" outlineLevel="0" collapsed="false">
      <c r="A90" s="4" t="n">
        <v>87</v>
      </c>
      <c r="B90" s="4" t="s">
        <v>184</v>
      </c>
      <c r="C90" s="5" t="s">
        <v>185</v>
      </c>
      <c r="D90" s="6" t="n">
        <v>963446.73</v>
      </c>
      <c r="E90" s="6" t="n">
        <f aca="false">D90*0.03</f>
        <v>28903.4019</v>
      </c>
      <c r="F90" s="6" t="n">
        <f aca="false">D90*0.001</f>
        <v>963.44673</v>
      </c>
      <c r="G90" s="6" t="n">
        <v>20000</v>
      </c>
      <c r="H90" s="6" t="n">
        <f aca="false">D90-E90-F90-G90</f>
        <v>913579.88137</v>
      </c>
      <c r="I90" s="6" t="n">
        <f aca="false">D90*0.01</f>
        <v>9634.4673</v>
      </c>
      <c r="J90" s="6" t="n">
        <f aca="false">D90*0.02</f>
        <v>19268.9346</v>
      </c>
    </row>
    <row r="91" customFormat="false" ht="15" hidden="false" customHeight="false" outlineLevel="0" collapsed="false">
      <c r="A91" s="4" t="n">
        <v>88</v>
      </c>
      <c r="B91" s="4" t="s">
        <v>186</v>
      </c>
      <c r="C91" s="5" t="s">
        <v>187</v>
      </c>
      <c r="D91" s="6" t="n">
        <v>924680.73</v>
      </c>
      <c r="E91" s="6" t="n">
        <f aca="false">D91*0.03</f>
        <v>27740.4219</v>
      </c>
      <c r="F91" s="6" t="n">
        <f aca="false">D91*0.001</f>
        <v>924.68073</v>
      </c>
      <c r="G91" s="6" t="n">
        <v>20000</v>
      </c>
      <c r="H91" s="6" t="n">
        <f aca="false">D91-E91-F91-G91</f>
        <v>876015.62737</v>
      </c>
      <c r="I91" s="6" t="n">
        <f aca="false">D91*0.01</f>
        <v>9246.8073</v>
      </c>
      <c r="J91" s="6" t="n">
        <f aca="false">D91*0.02</f>
        <v>18493.6146</v>
      </c>
    </row>
    <row r="92" customFormat="false" ht="15" hidden="false" customHeight="false" outlineLevel="0" collapsed="false">
      <c r="A92" s="4" t="n">
        <v>89</v>
      </c>
      <c r="B92" s="4" t="s">
        <v>188</v>
      </c>
      <c r="C92" s="5" t="s">
        <v>189</v>
      </c>
      <c r="D92" s="6" t="n">
        <v>912500</v>
      </c>
      <c r="E92" s="6" t="n">
        <f aca="false">D92*0.03</f>
        <v>27375</v>
      </c>
      <c r="F92" s="6" t="n">
        <f aca="false">D92*0.001</f>
        <v>912.5</v>
      </c>
      <c r="G92" s="6" t="n">
        <v>20000</v>
      </c>
      <c r="H92" s="6" t="n">
        <f aca="false">D92-E92-F92-G92</f>
        <v>864212.5</v>
      </c>
      <c r="I92" s="6" t="n">
        <f aca="false">D92*0.01</f>
        <v>9125</v>
      </c>
      <c r="J92" s="6" t="n">
        <f aca="false">D92*0.02</f>
        <v>18250</v>
      </c>
    </row>
    <row r="93" customFormat="false" ht="15" hidden="false" customHeight="false" outlineLevel="0" collapsed="false">
      <c r="A93" s="4" t="n">
        <v>90</v>
      </c>
      <c r="B93" s="4" t="s">
        <v>190</v>
      </c>
      <c r="C93" s="5" t="s">
        <v>191</v>
      </c>
      <c r="D93" s="6" t="n">
        <v>750826.52</v>
      </c>
      <c r="E93" s="6" t="n">
        <f aca="false">D93*0.03</f>
        <v>22524.7956</v>
      </c>
      <c r="F93" s="6" t="n">
        <f aca="false">D93*0.001</f>
        <v>750.82652</v>
      </c>
      <c r="G93" s="6" t="n">
        <v>20000</v>
      </c>
      <c r="H93" s="6" t="n">
        <f aca="false">D93-E93-F93-G93</f>
        <v>707550.89788</v>
      </c>
      <c r="I93" s="6" t="n">
        <f aca="false">D93*0.01</f>
        <v>7508.2652</v>
      </c>
      <c r="J93" s="6" t="n">
        <f aca="false">D93*0.02</f>
        <v>15016.5304</v>
      </c>
    </row>
    <row r="94" customFormat="false" ht="15" hidden="false" customHeight="false" outlineLevel="0" collapsed="false">
      <c r="A94" s="4" t="n">
        <v>91</v>
      </c>
      <c r="B94" s="4" t="s">
        <v>192</v>
      </c>
      <c r="C94" s="5" t="s">
        <v>193</v>
      </c>
      <c r="D94" s="6" t="n">
        <v>663144.91</v>
      </c>
      <c r="E94" s="6" t="n">
        <f aca="false">D94*0.03</f>
        <v>19894.3473</v>
      </c>
      <c r="F94" s="6" t="n">
        <f aca="false">D94*0.001</f>
        <v>663.14491</v>
      </c>
      <c r="G94" s="6" t="n">
        <v>20000</v>
      </c>
      <c r="H94" s="6" t="n">
        <f aca="false">D94-E94-F94-G94</f>
        <v>622587.41779</v>
      </c>
      <c r="I94" s="6" t="n">
        <f aca="false">D94*0.01</f>
        <v>6631.4491</v>
      </c>
      <c r="J94" s="6" t="n">
        <f aca="false">D94*0.02</f>
        <v>13262.8982</v>
      </c>
    </row>
    <row r="95" customFormat="false" ht="15" hidden="false" customHeight="false" outlineLevel="0" collapsed="false">
      <c r="A95" s="4" t="n">
        <v>92</v>
      </c>
      <c r="B95" s="4" t="s">
        <v>194</v>
      </c>
      <c r="C95" s="5" t="s">
        <v>195</v>
      </c>
      <c r="D95" s="6" t="n">
        <v>606496.09</v>
      </c>
      <c r="E95" s="6" t="n">
        <f aca="false">D95*0.03</f>
        <v>18194.8827</v>
      </c>
      <c r="F95" s="6" t="n">
        <f aca="false">D95*0.001</f>
        <v>606.49609</v>
      </c>
      <c r="G95" s="6" t="n">
        <v>20000</v>
      </c>
      <c r="H95" s="6" t="n">
        <f aca="false">D95-E95-F95-G95</f>
        <v>567694.71121</v>
      </c>
      <c r="I95" s="6" t="n">
        <f aca="false">D95*0.01</f>
        <v>6064.9609</v>
      </c>
      <c r="J95" s="6" t="n">
        <f aca="false">D95*0.02</f>
        <v>12129.9218</v>
      </c>
    </row>
    <row r="96" customFormat="false" ht="15" hidden="false" customHeight="false" outlineLevel="0" collapsed="false">
      <c r="A96" s="4" t="n">
        <v>93</v>
      </c>
      <c r="B96" s="4" t="s">
        <v>196</v>
      </c>
      <c r="C96" s="5" t="s">
        <v>197</v>
      </c>
      <c r="D96" s="6" t="n">
        <v>571594.42</v>
      </c>
      <c r="E96" s="6" t="n">
        <f aca="false">D96*0.03</f>
        <v>17147.8326</v>
      </c>
      <c r="F96" s="6" t="n">
        <f aca="false">D96*0.001</f>
        <v>571.59442</v>
      </c>
      <c r="G96" s="6" t="n">
        <v>20000</v>
      </c>
      <c r="H96" s="6" t="n">
        <f aca="false">D96-E96-F96-G96</f>
        <v>533874.99298</v>
      </c>
      <c r="I96" s="6" t="n">
        <f aca="false">D96*0.01</f>
        <v>5715.9442</v>
      </c>
      <c r="J96" s="6" t="n">
        <f aca="false">D96*0.02</f>
        <v>11431.8884</v>
      </c>
    </row>
    <row r="97" customFormat="false" ht="15" hidden="false" customHeight="false" outlineLevel="0" collapsed="false">
      <c r="A97" s="7"/>
      <c r="B97" s="7"/>
      <c r="C97" s="8" t="s">
        <v>198</v>
      </c>
      <c r="D97" s="9" t="n">
        <f aca="false">SUM(D4:D96)</f>
        <v>316321137.69</v>
      </c>
      <c r="E97" s="9" t="n">
        <f aca="false">SUM(E4:E96)</f>
        <v>9489634.1307</v>
      </c>
      <c r="F97" s="9" t="n">
        <f aca="false">SUM(F4:F96)</f>
        <v>316321.13769</v>
      </c>
      <c r="G97" s="9" t="n">
        <f aca="false">SUM(G4:G96)</f>
        <v>1860000</v>
      </c>
      <c r="H97" s="9" t="n">
        <f aca="false">SUM(H4:H96)</f>
        <v>304655182.42161</v>
      </c>
      <c r="I97" s="9" t="n">
        <f aca="false">SUM(I4:I96)</f>
        <v>3163211.3769</v>
      </c>
      <c r="J97" s="9" t="n">
        <f aca="false">SUM(J4:J96)</f>
        <v>6326422.7538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2026-07-23T16:45:23Z</dcterms:created>
  <dc:creator>openpyxl</dc:creator>
  <dc:description/>
  <dc:language>en-US</dc:language>
  <cp:lastModifiedBy/>
  <dcterms:modified xsi:type="dcterms:W3CDTF">2026-07-23T16:45:23Z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